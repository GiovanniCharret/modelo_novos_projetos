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EstaPastaDeTrabalho"/>
  <xr:revisionPtr revIDLastSave="0" documentId="13_ncr:1_{A52F8DD3-4E46-4B8C-9026-158BE6FC32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AtivInspeção" sheetId="11" r:id="rId1"/>
  </sheets>
  <definedNames>
    <definedName name="_xlnm._FilterDatabase" localSheetId="0" hidden="1">CronogramaAtivInspeção!$A$6:$BP$137</definedName>
    <definedName name="Hoje" localSheetId="0">TODAY()</definedName>
    <definedName name="Início_da_tarefa" localSheetId="0">CronogramaAtivInspeção!$Q1</definedName>
    <definedName name="Início_do_projeto">CronogramaAtivInspeção!$Q$3</definedName>
    <definedName name="Progresso_da_tarefa" localSheetId="0">CronogramaAtivInspeção!$P1</definedName>
    <definedName name="Semana_de_exibição">CronogramaAtivInspeção!$Q$4</definedName>
    <definedName name="Término_da_tarefa" localSheetId="0">CronogramaAtivInspeção!$R1</definedName>
    <definedName name="_xlnm.Print_Titles" localSheetId="0">CronogramaAtivInspeção!$4:$6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2" i="11" l="1"/>
  <c r="Q73" i="11" s="1"/>
  <c r="R71" i="11"/>
  <c r="S71" i="11" s="1"/>
  <c r="R70" i="11"/>
  <c r="S70" i="11" s="1"/>
  <c r="R69" i="11"/>
  <c r="S69" i="11" s="1"/>
  <c r="R60" i="11"/>
  <c r="Q61" i="11"/>
  <c r="R59" i="11"/>
  <c r="S59" i="11" s="1"/>
  <c r="R58" i="11"/>
  <c r="S58" i="11" s="1"/>
  <c r="R57" i="11"/>
  <c r="S57" i="11" s="1"/>
  <c r="R32" i="11"/>
  <c r="R44" i="11"/>
  <c r="R48" i="11"/>
  <c r="Q49" i="11" s="1"/>
  <c r="R47" i="11"/>
  <c r="S47" i="11" s="1"/>
  <c r="R46" i="11"/>
  <c r="S46" i="11" s="1"/>
  <c r="S45" i="11"/>
  <c r="R45" i="11"/>
  <c r="Q13" i="11"/>
  <c r="Q25" i="11"/>
  <c r="R24" i="11"/>
  <c r="S24" i="11" s="1"/>
  <c r="R37" i="11"/>
  <c r="Q38" i="11" s="1"/>
  <c r="R36" i="11"/>
  <c r="S36" i="11" s="1"/>
  <c r="R35" i="11"/>
  <c r="S35" i="11" s="1"/>
  <c r="R34" i="11"/>
  <c r="S34" i="11" s="1"/>
  <c r="S33" i="11"/>
  <c r="R33" i="11"/>
  <c r="R25" i="11"/>
  <c r="Q26" i="11" s="1"/>
  <c r="R23" i="11"/>
  <c r="S23" i="11" s="1"/>
  <c r="R22" i="11"/>
  <c r="S22" i="11" s="1"/>
  <c r="S21" i="11"/>
  <c r="R21" i="11"/>
  <c r="R14" i="11"/>
  <c r="Q15" i="11" s="1"/>
  <c r="R15" i="11" s="1"/>
  <c r="O72" i="11"/>
  <c r="O60" i="11"/>
  <c r="O48" i="11"/>
  <c r="O36" i="11"/>
  <c r="O24" i="11"/>
  <c r="R13" i="11"/>
  <c r="Q14" i="11" s="1"/>
  <c r="R12" i="11"/>
  <c r="R11" i="11"/>
  <c r="R9" i="11"/>
  <c r="S9" i="11" s="1"/>
  <c r="R10" i="11"/>
  <c r="S10" i="11" s="1"/>
  <c r="S95" i="11"/>
  <c r="S93" i="11"/>
  <c r="S91" i="11"/>
  <c r="R73" i="11" l="1"/>
  <c r="Q74" i="11" s="1"/>
  <c r="S72" i="11"/>
  <c r="R61" i="11"/>
  <c r="Q62" i="11" s="1"/>
  <c r="S60" i="11"/>
  <c r="R49" i="11"/>
  <c r="Q50" i="11" s="1"/>
  <c r="S48" i="11"/>
  <c r="S38" i="11"/>
  <c r="R38" i="11"/>
  <c r="Q39" i="11" s="1"/>
  <c r="S37" i="11"/>
  <c r="R26" i="11"/>
  <c r="Q27" i="11" s="1"/>
  <c r="S25" i="11"/>
  <c r="S89" i="11"/>
  <c r="R74" i="11" l="1"/>
  <c r="Q75" i="11" s="1"/>
  <c r="S73" i="11"/>
  <c r="R62" i="11"/>
  <c r="Q63" i="11" s="1"/>
  <c r="S61" i="11"/>
  <c r="S49" i="11"/>
  <c r="R50" i="11"/>
  <c r="Q51" i="11" s="1"/>
  <c r="S39" i="11"/>
  <c r="R39" i="11"/>
  <c r="Q40" i="11" s="1"/>
  <c r="S27" i="11"/>
  <c r="R27" i="11"/>
  <c r="Q28" i="11" s="1"/>
  <c r="S26" i="11"/>
  <c r="S87" i="11"/>
  <c r="S85" i="11"/>
  <c r="S83" i="11"/>
  <c r="R75" i="11" l="1"/>
  <c r="Q76" i="11" s="1"/>
  <c r="S75" i="11"/>
  <c r="S74" i="11"/>
  <c r="R63" i="11"/>
  <c r="Q64" i="11" s="1"/>
  <c r="S62" i="11"/>
  <c r="R51" i="11"/>
  <c r="Q52" i="11" s="1"/>
  <c r="S50" i="11"/>
  <c r="R40" i="11"/>
  <c r="Q41" i="11" s="1"/>
  <c r="R28" i="11"/>
  <c r="Q29" i="11" s="1"/>
  <c r="AI6" i="11"/>
  <c r="AG6" i="11"/>
  <c r="R76" i="11" l="1"/>
  <c r="Q77" i="11" s="1"/>
  <c r="R64" i="11"/>
  <c r="Q65" i="11" s="1"/>
  <c r="S63" i="11"/>
  <c r="R52" i="11"/>
  <c r="Q53" i="11" s="1"/>
  <c r="S51" i="11"/>
  <c r="S40" i="11"/>
  <c r="R41" i="11"/>
  <c r="Q42" i="11" s="1"/>
  <c r="R29" i="11"/>
  <c r="Q30" i="11" s="1"/>
  <c r="S28" i="11"/>
  <c r="S80" i="11"/>
  <c r="S81" i="11"/>
  <c r="S11" i="11"/>
  <c r="S44" i="11"/>
  <c r="S32" i="11"/>
  <c r="O12" i="11"/>
  <c r="S76" i="11" l="1"/>
  <c r="R77" i="11"/>
  <c r="Q78" i="11" s="1"/>
  <c r="R65" i="11"/>
  <c r="Q66" i="11" s="1"/>
  <c r="S64" i="11"/>
  <c r="R53" i="11"/>
  <c r="Q54" i="11" s="1"/>
  <c r="S52" i="11"/>
  <c r="R42" i="11"/>
  <c r="S42" i="11" s="1"/>
  <c r="S41" i="11"/>
  <c r="R30" i="11"/>
  <c r="R20" i="11" s="1"/>
  <c r="S20" i="11" s="1"/>
  <c r="S29" i="11"/>
  <c r="S13" i="11"/>
  <c r="S12" i="11"/>
  <c r="R78" i="11" l="1"/>
  <c r="R68" i="11" s="1"/>
  <c r="S68" i="11" s="1"/>
  <c r="S77" i="11"/>
  <c r="R66" i="11"/>
  <c r="R56" i="11" s="1"/>
  <c r="S56" i="11" s="1"/>
  <c r="S65" i="11"/>
  <c r="R54" i="11"/>
  <c r="S54" i="11"/>
  <c r="S53" i="11"/>
  <c r="S30" i="11"/>
  <c r="AK6" i="11"/>
  <c r="S78" i="11" l="1"/>
  <c r="S66" i="11"/>
  <c r="AM6" i="11"/>
  <c r="AO6" i="11" l="1"/>
  <c r="AQ6" i="11" l="1"/>
  <c r="AS6" i="11" l="1"/>
  <c r="AU6" i="11" l="1"/>
  <c r="AW6" i="11" l="1"/>
  <c r="AY6" i="11" l="1"/>
  <c r="BA6" i="11" l="1"/>
  <c r="BC6" i="11" l="1"/>
  <c r="BE6" i="11" l="1"/>
  <c r="BG6" i="11" l="1"/>
  <c r="BI6" i="11" l="1"/>
  <c r="BK6" i="11" l="1"/>
  <c r="BM6" i="11" l="1"/>
  <c r="BO6" i="11" l="1"/>
  <c r="S14" i="11"/>
  <c r="S15" i="11" l="1"/>
  <c r="Q16" i="11"/>
  <c r="R16" i="11" s="1"/>
  <c r="Q17" i="11" l="1"/>
  <c r="R17" i="11" s="1"/>
  <c r="Q18" i="11" l="1"/>
  <c r="R18" i="11" s="1"/>
  <c r="S16" i="11"/>
  <c r="S17" i="11" l="1"/>
  <c r="S18" i="11" l="1"/>
  <c r="R8" i="11"/>
  <c r="S8" i="11" s="1"/>
</calcChain>
</file>

<file path=xl/sharedStrings.xml><?xml version="1.0" encoding="utf-8"?>
<sst xmlns="http://schemas.openxmlformats.org/spreadsheetml/2006/main" count="572" uniqueCount="256">
  <si>
    <t>Insira o Nome da empresa na célula B2.</t>
  </si>
  <si>
    <t>Insira o nome do Líder do projeto na célula B3. Insira a data de Início do projeto na célula E3. Início do projeto: o rótulo está na célula C3.</t>
  </si>
  <si>
    <t>Observações</t>
  </si>
  <si>
    <t>As células I5 a BL5 contêm o número de dias da semana representado no bloco de células acima de cada célula de data e são calculadas automaticamente.
Você não deve modificar essas células.
A data de hoje é contornada em vermelho (hex #AD3815) a partir da data de hoje na linha 5, passando pela coluna de data inteira até o final do cronograma do projeto.</t>
  </si>
  <si>
    <t>Id</t>
  </si>
  <si>
    <t>PLANEJAMENTO</t>
  </si>
  <si>
    <t>UF</t>
  </si>
  <si>
    <t>PESO</t>
  </si>
  <si>
    <t>CONTRATO</t>
  </si>
  <si>
    <t>TIPO</t>
  </si>
  <si>
    <t>DATA DO RECEBIMENTO DO PEDIDO DE INSPEÇÃO</t>
  </si>
  <si>
    <t>PRAZO CONTRATUAL DE INSPEÇÃO</t>
  </si>
  <si>
    <t>RESPONSÁVEL</t>
  </si>
  <si>
    <t>PROGRESSO</t>
  </si>
  <si>
    <t>INÍCIO</t>
  </si>
  <si>
    <t>TÉRMINO</t>
  </si>
  <si>
    <t>DIAS</t>
  </si>
  <si>
    <t>1.1</t>
  </si>
  <si>
    <t>Registro das Informações no SEI</t>
  </si>
  <si>
    <t>Aurélio/Eduardo/Miguel</t>
  </si>
  <si>
    <t>Aguardando Resposta do Ofício pelo AE</t>
  </si>
  <si>
    <t>Área de Inspeção</t>
  </si>
  <si>
    <t>2.1</t>
  </si>
  <si>
    <t>PI</t>
  </si>
  <si>
    <t>ECO-029/2024</t>
  </si>
  <si>
    <t>MT</t>
  </si>
  <si>
    <t>AC</t>
  </si>
  <si>
    <t>PA</t>
  </si>
  <si>
    <t>ECO-021-D/2024</t>
  </si>
  <si>
    <t>Rural</t>
  </si>
  <si>
    <t xml:space="preserve">1º Trimeste </t>
  </si>
  <si>
    <t>JAN</t>
  </si>
  <si>
    <t>FEV</t>
  </si>
  <si>
    <t>MAR</t>
  </si>
  <si>
    <t>2º Trimestre</t>
  </si>
  <si>
    <t>ABR</t>
  </si>
  <si>
    <t>MAI</t>
  </si>
  <si>
    <t>JUN</t>
  </si>
  <si>
    <t>3º Trimestre</t>
  </si>
  <si>
    <t>4º Trimestre</t>
  </si>
  <si>
    <t>JUL</t>
  </si>
  <si>
    <t>AGO</t>
  </si>
  <si>
    <t>SET</t>
  </si>
  <si>
    <t>OUT</t>
  </si>
  <si>
    <t>NOV</t>
  </si>
  <si>
    <t>DEZ</t>
  </si>
  <si>
    <t>COILT</t>
  </si>
  <si>
    <t>BA</t>
  </si>
  <si>
    <t>ECO-025-C/2024</t>
  </si>
  <si>
    <t>Solicitar "De Acordo" à Gerencia para Início do Processo de Inspeção da CELPA 7ª Tranche AmL, Conforme Atividades Previstas neste Cronograma</t>
  </si>
  <si>
    <t>ECM-013-A/2023</t>
  </si>
  <si>
    <t>Elaboração Ordem de serviço /Assinaturas</t>
  </si>
  <si>
    <t>Etapa inspeção em campo</t>
  </si>
  <si>
    <t>CE</t>
  </si>
  <si>
    <t>ECO-030/2024</t>
  </si>
  <si>
    <t>ECO-028-A/2024</t>
  </si>
  <si>
    <t>ECM-014-A/2024</t>
  </si>
  <si>
    <t>Aml</t>
  </si>
  <si>
    <t>TO</t>
  </si>
  <si>
    <t>Legenda</t>
  </si>
  <si>
    <t>MG</t>
  </si>
  <si>
    <t>MS</t>
  </si>
  <si>
    <t>RJ</t>
  </si>
  <si>
    <t>ECM-024/2025</t>
  </si>
  <si>
    <t>UCs Ligadas (%)</t>
  </si>
  <si>
    <t>Status</t>
  </si>
  <si>
    <t>Concluída</t>
  </si>
  <si>
    <t>Execução</t>
  </si>
  <si>
    <t>Análise</t>
  </si>
  <si>
    <t>TRANCHE</t>
  </si>
  <si>
    <t>CELPA</t>
  </si>
  <si>
    <t>TOCANTINS</t>
  </si>
  <si>
    <t xml:space="preserve">2ª </t>
  </si>
  <si>
    <t>5ª</t>
  </si>
  <si>
    <t>8ª</t>
  </si>
  <si>
    <t>ECM-016/2025</t>
  </si>
  <si>
    <t>ACRE</t>
  </si>
  <si>
    <t>7ª</t>
  </si>
  <si>
    <t>11ª</t>
  </si>
  <si>
    <t>COELBA</t>
  </si>
  <si>
    <t>4ª</t>
  </si>
  <si>
    <t>3ª</t>
  </si>
  <si>
    <t xml:space="preserve">8ª </t>
  </si>
  <si>
    <t xml:space="preserve">6ª </t>
  </si>
  <si>
    <t xml:space="preserve">12ª </t>
  </si>
  <si>
    <t>ENEL RJ</t>
  </si>
  <si>
    <t xml:space="preserve">5ª </t>
  </si>
  <si>
    <t>ENERGISA MS</t>
  </si>
  <si>
    <t>ENERGISA MT</t>
  </si>
  <si>
    <t>ENEL CE</t>
  </si>
  <si>
    <t>CEMIG</t>
  </si>
  <si>
    <t xml:space="preserve">7ª </t>
  </si>
  <si>
    <t>ECM-018/2024</t>
  </si>
  <si>
    <t>ECO-031/2025</t>
  </si>
  <si>
    <t>ECM-026/2025</t>
  </si>
  <si>
    <t>Elaborado por: Coordenação de Inspeções Físicas LPT</t>
  </si>
  <si>
    <t>3.1</t>
  </si>
  <si>
    <t>4.1</t>
  </si>
  <si>
    <t>5.1</t>
  </si>
  <si>
    <t>7.1</t>
  </si>
  <si>
    <t>8.1</t>
  </si>
  <si>
    <t>6.1</t>
  </si>
  <si>
    <t>9.1</t>
  </si>
  <si>
    <t>10.1</t>
  </si>
  <si>
    <t>11.1</t>
  </si>
  <si>
    <t>12.1</t>
  </si>
  <si>
    <t>13.1</t>
  </si>
  <si>
    <t>14.1</t>
  </si>
  <si>
    <t>15.1</t>
  </si>
  <si>
    <t>16.1</t>
  </si>
  <si>
    <t>17.1</t>
  </si>
  <si>
    <t>18.1</t>
  </si>
  <si>
    <t>AmL</t>
  </si>
  <si>
    <t>ECM-023/2025</t>
  </si>
  <si>
    <t>Em processo de seleção do Estrato/Amostra.</t>
  </si>
  <si>
    <t>NÃO</t>
  </si>
  <si>
    <t>Impacto demais Tranches</t>
  </si>
  <si>
    <t>SIM</t>
  </si>
  <si>
    <t>Bloqueado</t>
  </si>
  <si>
    <t>AML</t>
  </si>
  <si>
    <t>Concluído</t>
  </si>
  <si>
    <t>RO</t>
  </si>
  <si>
    <t>PB</t>
  </si>
  <si>
    <t>9º</t>
  </si>
  <si>
    <t>12º</t>
  </si>
  <si>
    <t>MA</t>
  </si>
  <si>
    <t>AP</t>
  </si>
  <si>
    <t>ECM-022/2025</t>
  </si>
  <si>
    <t>ECM-017/2025</t>
  </si>
  <si>
    <t>ECO-037/2025</t>
  </si>
  <si>
    <t>ECO-035/2025</t>
  </si>
  <si>
    <t>ECO-040/2025</t>
  </si>
  <si>
    <t>ECO-036/2025</t>
  </si>
  <si>
    <t>ECO-043/2025</t>
  </si>
  <si>
    <t>27.1</t>
  </si>
  <si>
    <t>26.1</t>
  </si>
  <si>
    <t>25.1</t>
  </si>
  <si>
    <t>24.1</t>
  </si>
  <si>
    <t>23.1</t>
  </si>
  <si>
    <t>22.1</t>
  </si>
  <si>
    <t>21.1</t>
  </si>
  <si>
    <t>20.1</t>
  </si>
  <si>
    <t>ECO-033/2025</t>
  </si>
  <si>
    <t>PARAÍBA</t>
  </si>
  <si>
    <t>CERCI</t>
  </si>
  <si>
    <t>MATO GROSSO</t>
  </si>
  <si>
    <t>AMAPÁ</t>
  </si>
  <si>
    <t>MARANHÃO</t>
  </si>
  <si>
    <t>QTD CONTRATO</t>
  </si>
  <si>
    <t>RONDÔNIA</t>
  </si>
  <si>
    <t>PIAUÍ</t>
  </si>
  <si>
    <t>Em processo de seleção do Estrato/Amostra. 
Impacto na liberação financeira da 3º Parcela (Celpa 6º Tranche)</t>
  </si>
  <si>
    <t>Em processo de seleção do Estrato/Amostra. 
Impacto na liberação financeira da 3º Parcela (Piauí 9º Tranche)</t>
  </si>
  <si>
    <t>Impacto na liberação financeira da 3º Parcela (Rondônia 9º Tranche).</t>
  </si>
  <si>
    <t>Impacto na 3º e 4º Tranche (Em análise)</t>
  </si>
  <si>
    <t>Credenciada</t>
  </si>
  <si>
    <t>Envio do Ofício ao AE Comunicação Resultado IF</t>
  </si>
  <si>
    <t>2ª</t>
  </si>
  <si>
    <t>ECM-020/2025</t>
  </si>
  <si>
    <t>CRONOGRAMA DE PLANEJAMENTO INSPEÇÕES FÍSICAS LPT 2026/2027</t>
  </si>
  <si>
    <t>19.1</t>
  </si>
  <si>
    <t>ECM-021/2025</t>
  </si>
  <si>
    <t>Análise Orçamentária</t>
  </si>
  <si>
    <t>ÂMBAR ENERGIA AMAZONAS</t>
  </si>
  <si>
    <t>AM</t>
  </si>
  <si>
    <t xml:space="preserve">11ª </t>
  </si>
  <si>
    <t>Em Contratação</t>
  </si>
  <si>
    <t>ENERGISA</t>
  </si>
  <si>
    <t xml:space="preserve">4ª </t>
  </si>
  <si>
    <t>RORAIMA ENERGIA</t>
  </si>
  <si>
    <t>RR</t>
  </si>
  <si>
    <t xml:space="preserve">1ª </t>
  </si>
  <si>
    <t>AML (MIGDI)</t>
  </si>
  <si>
    <t>Metas Escepcionais</t>
  </si>
  <si>
    <t>28.1</t>
  </si>
  <si>
    <t>29.1</t>
  </si>
  <si>
    <t>30.1</t>
  </si>
  <si>
    <t>31.1</t>
  </si>
  <si>
    <t>32.1</t>
  </si>
  <si>
    <t>33.1</t>
  </si>
  <si>
    <t>34.1</t>
  </si>
  <si>
    <t>35.1</t>
  </si>
  <si>
    <t>Seleção da Amostra/Aprovação da Inspeção</t>
  </si>
  <si>
    <t>Eduardo/Miguel</t>
  </si>
  <si>
    <t>Elaboração do Reatório pela credenciada</t>
  </si>
  <si>
    <t>Elaboração do relatório RIF/Oficio</t>
  </si>
  <si>
    <t>Agente Executor</t>
  </si>
  <si>
    <t>Coordenação de Inspeção</t>
  </si>
  <si>
    <t>Análise do Recurso, em caso de Contestação/ Publicação Resultado</t>
  </si>
  <si>
    <t>2º semestre 2026</t>
  </si>
  <si>
    <t xml:space="preserve"> 12 a 13</t>
  </si>
  <si>
    <t>1º Semestre 2027</t>
  </si>
  <si>
    <t>2º Semestre 2027</t>
  </si>
  <si>
    <t>Agendamento Inspeção AE/Preenchimento Planilha Roteiro e Logística</t>
  </si>
  <si>
    <t xml:space="preserve">Inspeção Física em Campo 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</si>
  <si>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</si>
  <si>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</si>
  <si>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</si>
  <si>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</si>
  <si>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</si>
  <si>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</si>
  <si>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</si>
  <si>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</si>
  <si>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</si>
  <si>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</si>
  <si>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Etapa Inspeção Fisíca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</si>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</sst>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d/m/yy;@"/>
    <numFmt numFmtId="166" formatCode="d"/>
    <numFmt numFmtId="167" formatCode="ddd\,\ dd/mm/yyyy"/>
  </numFmts>
  <fonts count="3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 style="medium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/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/>
      <diagonal/>
    </border>
    <border>
      <left/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/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 style="medium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14993743705557422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medium">
        <color theme="0" tint="-0.14996795556505021"/>
      </top>
      <bottom/>
      <diagonal/>
    </border>
    <border>
      <left style="thin">
        <color theme="0" tint="-0.14993743705557422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indexed="64"/>
      </right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/>
      <top style="medium">
        <color theme="0" tint="-0.14996795556505021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3743705557422"/>
      </left>
      <right/>
      <top style="medium">
        <color indexed="64"/>
      </top>
      <bottom style="medium">
        <color theme="0" tint="-0.14996795556505021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0" fontId="9" fillId="0" borderId="0"/>
    <xf numFmtId="9" fontId="6" fillId="0" borderId="3" applyFont="0" applyFill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Alignment="0" applyProtection="0"/>
    <xf numFmtId="0" fontId="7" fillId="0" borderId="0" applyNumberFormat="0" applyFill="0" applyProtection="0">
      <alignment vertical="top"/>
    </xf>
    <xf numFmtId="0" fontId="6" fillId="0" borderId="0" applyNumberFormat="0" applyFill="0" applyProtection="0">
      <alignment horizontal="right" indent="1"/>
    </xf>
    <xf numFmtId="167" fontId="6" fillId="0" borderId="3">
      <alignment horizontal="center" vertical="center"/>
    </xf>
    <xf numFmtId="165" fontId="6" fillId="0" borderId="2" applyFill="0">
      <alignment horizontal="center" vertical="center"/>
    </xf>
    <xf numFmtId="0" fontId="6" fillId="0" borderId="2" applyFill="0">
      <alignment horizontal="center" vertical="center"/>
    </xf>
    <xf numFmtId="0" fontId="6" fillId="0" borderId="2" applyFill="0">
      <alignment horizontal="left" vertical="center" indent="2"/>
    </xf>
    <xf numFmtId="0" fontId="12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8" applyNumberFormat="0" applyAlignment="0" applyProtection="0"/>
    <xf numFmtId="0" fontId="18" fillId="8" borderId="9" applyNumberFormat="0" applyAlignment="0" applyProtection="0"/>
    <xf numFmtId="0" fontId="19" fillId="8" borderId="8" applyNumberFormat="0" applyAlignment="0" applyProtection="0"/>
    <xf numFmtId="0" fontId="20" fillId="0" borderId="10" applyNumberFormat="0" applyFill="0" applyAlignment="0" applyProtection="0"/>
    <xf numFmtId="0" fontId="21" fillId="9" borderId="11" applyNumberFormat="0" applyAlignment="0" applyProtection="0"/>
    <xf numFmtId="0" fontId="22" fillId="0" borderId="0" applyNumberFormat="0" applyFill="0" applyBorder="0" applyAlignment="0" applyProtection="0"/>
    <xf numFmtId="0" fontId="6" fillId="10" borderId="12" applyNumberFormat="0" applyFont="0" applyAlignment="0" applyProtection="0"/>
    <xf numFmtId="0" fontId="23" fillId="0" borderId="0" applyNumberFormat="0" applyFill="0" applyBorder="0" applyAlignment="0" applyProtection="0"/>
    <xf numFmtId="0" fontId="4" fillId="0" borderId="13" applyNumberFormat="0" applyFill="0" applyAlignment="0" applyProtection="0"/>
    <xf numFmtId="0" fontId="9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9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9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9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9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9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</cellStyleXfs>
  <cellXfs count="23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9" fillId="0" borderId="0" xfId="3"/>
    <xf numFmtId="0" fontId="9" fillId="0" borderId="0" xfId="3" applyAlignment="1">
      <alignment wrapText="1"/>
    </xf>
    <xf numFmtId="0" fontId="7" fillId="0" borderId="0" xfId="6"/>
    <xf numFmtId="0" fontId="10" fillId="0" borderId="0" xfId="0" applyFont="1"/>
    <xf numFmtId="0" fontId="11" fillId="0" borderId="0" xfId="1" applyFont="1" applyProtection="1">
      <alignment vertical="top"/>
    </xf>
    <xf numFmtId="0" fontId="24" fillId="0" borderId="0" xfId="7" applyFont="1" applyAlignment="1">
      <alignment vertical="top" wrapText="1"/>
    </xf>
    <xf numFmtId="0" fontId="4" fillId="35" borderId="0" xfId="0" applyFont="1" applyFill="1" applyAlignment="1">
      <alignment horizontal="center" vertical="center" wrapText="1"/>
    </xf>
    <xf numFmtId="9" fontId="3" fillId="37" borderId="2" xfId="2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6" fillId="37" borderId="18" xfId="12" applyFill="1" applyBorder="1" applyAlignment="1">
      <alignment vertical="center" wrapText="1"/>
    </xf>
    <xf numFmtId="14" fontId="4" fillId="39" borderId="21" xfId="11" applyNumberFormat="1" applyFont="1" applyFill="1" applyBorder="1">
      <alignment horizontal="center" vertical="center"/>
    </xf>
    <xf numFmtId="0" fontId="0" fillId="0" borderId="29" xfId="0" applyBorder="1" applyAlignment="1">
      <alignment vertical="center"/>
    </xf>
    <xf numFmtId="0" fontId="6" fillId="37" borderId="31" xfId="12" applyFill="1" applyBorder="1" applyAlignment="1">
      <alignment vertical="center" wrapText="1"/>
    </xf>
    <xf numFmtId="0" fontId="4" fillId="37" borderId="31" xfId="0" applyFont="1" applyFill="1" applyBorder="1" applyAlignment="1">
      <alignment horizontal="left" vertical="center" indent="1"/>
    </xf>
    <xf numFmtId="0" fontId="4" fillId="37" borderId="31" xfId="0" applyFont="1" applyFill="1" applyBorder="1" applyAlignment="1">
      <alignment vertical="center"/>
    </xf>
    <xf numFmtId="0" fontId="4" fillId="37" borderId="31" xfId="11" applyFont="1" applyFill="1" applyBorder="1">
      <alignment horizontal="center" vertical="center"/>
    </xf>
    <xf numFmtId="3" fontId="4" fillId="37" borderId="31" xfId="11" applyNumberFormat="1" applyFont="1" applyFill="1" applyBorder="1">
      <alignment horizontal="center" vertical="center"/>
    </xf>
    <xf numFmtId="14" fontId="4" fillId="37" borderId="31" xfId="11" applyNumberFormat="1" applyFont="1" applyFill="1" applyBorder="1">
      <alignment horizontal="center" vertical="center"/>
    </xf>
    <xf numFmtId="0" fontId="6" fillId="37" borderId="31" xfId="11" applyFill="1" applyBorder="1" applyAlignment="1">
      <alignment horizontal="center" vertical="center" wrapText="1"/>
    </xf>
    <xf numFmtId="0" fontId="6" fillId="37" borderId="18" xfId="12" applyFill="1" applyBorder="1" applyAlignment="1">
      <alignment horizontal="left" vertical="center" wrapText="1" indent="2"/>
    </xf>
    <xf numFmtId="0" fontId="6" fillId="37" borderId="18" xfId="11" applyFill="1" applyBorder="1">
      <alignment horizontal="center" vertical="center"/>
    </xf>
    <xf numFmtId="0" fontId="0" fillId="0" borderId="34" xfId="0" applyBorder="1" applyAlignment="1">
      <alignment vertical="center"/>
    </xf>
    <xf numFmtId="0" fontId="0" fillId="0" borderId="34" xfId="0" applyBorder="1" applyAlignment="1">
      <alignment horizontal="right" vertical="center"/>
    </xf>
    <xf numFmtId="0" fontId="0" fillId="0" borderId="33" xfId="0" applyBorder="1" applyAlignment="1">
      <alignment vertical="center"/>
    </xf>
    <xf numFmtId="0" fontId="4" fillId="39" borderId="28" xfId="0" applyFont="1" applyFill="1" applyBorder="1" applyAlignment="1">
      <alignment horizontal="left" vertical="center" indent="1"/>
    </xf>
    <xf numFmtId="0" fontId="4" fillId="39" borderId="28" xfId="0" applyFont="1" applyFill="1" applyBorder="1" applyAlignment="1">
      <alignment horizontal="center" vertical="center"/>
    </xf>
    <xf numFmtId="0" fontId="4" fillId="39" borderId="28" xfId="11" applyFont="1" applyFill="1" applyBorder="1">
      <alignment horizontal="center" vertical="center"/>
    </xf>
    <xf numFmtId="3" fontId="4" fillId="39" borderId="28" xfId="11" applyNumberFormat="1" applyFont="1" applyFill="1" applyBorder="1">
      <alignment horizontal="center" vertical="center"/>
    </xf>
    <xf numFmtId="14" fontId="4" fillId="39" borderId="28" xfId="11" applyNumberFormat="1" applyFont="1" applyFill="1" applyBorder="1">
      <alignment horizontal="center" vertical="center"/>
    </xf>
    <xf numFmtId="0" fontId="4" fillId="39" borderId="28" xfId="11" applyFont="1" applyFill="1" applyBorder="1" applyAlignment="1">
      <alignment horizontal="center" vertical="center" wrapText="1"/>
    </xf>
    <xf numFmtId="0" fontId="4" fillId="39" borderId="28" xfId="0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0" fontId="0" fillId="36" borderId="17" xfId="0" applyFill="1" applyBorder="1" applyAlignment="1">
      <alignment vertical="center"/>
    </xf>
    <xf numFmtId="0" fontId="0" fillId="36" borderId="7" xfId="0" applyFill="1" applyBorder="1" applyAlignment="1">
      <alignment vertical="center"/>
    </xf>
    <xf numFmtId="0" fontId="0" fillId="36" borderId="34" xfId="0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7" xfId="0" applyBorder="1" applyAlignment="1">
      <alignment horizontal="right" vertical="center"/>
    </xf>
    <xf numFmtId="0" fontId="0" fillId="0" borderId="38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horizontal="right" vertical="center"/>
    </xf>
    <xf numFmtId="0" fontId="0" fillId="0" borderId="42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26" fillId="0" borderId="47" xfId="0" applyFont="1" applyBorder="1" applyAlignment="1">
      <alignment horizontal="left" vertical="center" wrapText="1"/>
    </xf>
    <xf numFmtId="0" fontId="3" fillId="0" borderId="47" xfId="0" applyFont="1" applyBorder="1" applyAlignment="1">
      <alignment vertical="center" wrapText="1"/>
    </xf>
    <xf numFmtId="0" fontId="26" fillId="0" borderId="26" xfId="0" applyFont="1" applyBorder="1" applyAlignment="1">
      <alignment horizontal="left" vertical="center" wrapText="1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4" fillId="0" borderId="0" xfId="0" applyFont="1" applyAlignment="1">
      <alignment horizontal="right" vertical="center"/>
    </xf>
    <xf numFmtId="9" fontId="29" fillId="37" borderId="31" xfId="2" applyFont="1" applyFill="1" applyBorder="1" applyAlignment="1">
      <alignment horizontal="center" vertical="center"/>
    </xf>
    <xf numFmtId="165" fontId="28" fillId="37" borderId="31" xfId="0" applyNumberFormat="1" applyFont="1" applyFill="1" applyBorder="1" applyAlignment="1">
      <alignment horizontal="center" vertical="center"/>
    </xf>
    <xf numFmtId="9" fontId="30" fillId="37" borderId="2" xfId="2" applyFont="1" applyFill="1" applyBorder="1" applyAlignment="1">
      <alignment horizontal="center" vertical="center"/>
    </xf>
    <xf numFmtId="9" fontId="29" fillId="37" borderId="2" xfId="2" applyFont="1" applyFill="1" applyBorder="1" applyAlignment="1">
      <alignment horizontal="center" vertical="center"/>
    </xf>
    <xf numFmtId="9" fontId="29" fillId="37" borderId="18" xfId="2" applyFont="1" applyFill="1" applyBorder="1" applyAlignment="1">
      <alignment horizontal="center" vertical="center"/>
    </xf>
    <xf numFmtId="165" fontId="28" fillId="37" borderId="18" xfId="10" applyFont="1" applyFill="1" applyBorder="1">
      <alignment horizontal="center" vertical="center"/>
    </xf>
    <xf numFmtId="9" fontId="30" fillId="39" borderId="28" xfId="2" applyFont="1" applyFill="1" applyBorder="1" applyAlignment="1">
      <alignment horizontal="center" vertical="center"/>
    </xf>
    <xf numFmtId="165" fontId="31" fillId="39" borderId="28" xfId="0" applyNumberFormat="1" applyFont="1" applyFill="1" applyBorder="1" applyAlignment="1">
      <alignment horizontal="center" vertical="center"/>
    </xf>
    <xf numFmtId="0" fontId="4" fillId="0" borderId="0" xfId="0" applyFont="1"/>
    <xf numFmtId="0" fontId="6" fillId="37" borderId="30" xfId="12" applyFill="1" applyBorder="1" applyAlignment="1">
      <alignment horizontal="left" vertical="center" wrapText="1"/>
    </xf>
    <xf numFmtId="0" fontId="4" fillId="39" borderId="27" xfId="12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35" borderId="0" xfId="0" applyFill="1"/>
    <xf numFmtId="9" fontId="29" fillId="40" borderId="31" xfId="2" applyFont="1" applyFill="1" applyBorder="1" applyAlignment="1">
      <alignment horizontal="center" vertical="center"/>
    </xf>
    <xf numFmtId="0" fontId="10" fillId="41" borderId="27" xfId="12" applyFont="1" applyFill="1" applyBorder="1" applyAlignment="1">
      <alignment horizontal="left" vertical="center" wrapText="1"/>
    </xf>
    <xf numFmtId="0" fontId="10" fillId="41" borderId="28" xfId="0" applyFont="1" applyFill="1" applyBorder="1" applyAlignment="1">
      <alignment vertical="center"/>
    </xf>
    <xf numFmtId="0" fontId="10" fillId="41" borderId="28" xfId="0" applyFont="1" applyFill="1" applyBorder="1" applyAlignment="1">
      <alignment horizontal="center" vertical="center"/>
    </xf>
    <xf numFmtId="0" fontId="10" fillId="41" borderId="28" xfId="0" applyFont="1" applyFill="1" applyBorder="1" applyAlignment="1">
      <alignment horizontal="left" vertical="center" indent="1"/>
    </xf>
    <xf numFmtId="0" fontId="10" fillId="41" borderId="28" xfId="11" applyFont="1" applyFill="1" applyBorder="1">
      <alignment horizontal="center" vertical="center"/>
    </xf>
    <xf numFmtId="3" fontId="10" fillId="41" borderId="28" xfId="11" applyNumberFormat="1" applyFont="1" applyFill="1" applyBorder="1">
      <alignment horizontal="center" vertical="center"/>
    </xf>
    <xf numFmtId="14" fontId="10" fillId="41" borderId="28" xfId="11" applyNumberFormat="1" applyFont="1" applyFill="1" applyBorder="1">
      <alignment horizontal="center" vertical="center"/>
    </xf>
    <xf numFmtId="0" fontId="10" fillId="41" borderId="28" xfId="11" applyFont="1" applyFill="1" applyBorder="1" applyAlignment="1">
      <alignment horizontal="center" vertical="center" wrapText="1"/>
    </xf>
    <xf numFmtId="9" fontId="27" fillId="41" borderId="28" xfId="2" applyFont="1" applyFill="1" applyBorder="1" applyAlignment="1">
      <alignment horizontal="center" vertical="center"/>
    </xf>
    <xf numFmtId="165" fontId="10" fillId="41" borderId="28" xfId="0" applyNumberFormat="1" applyFont="1" applyFill="1" applyBorder="1" applyAlignment="1">
      <alignment horizontal="center" vertical="center"/>
    </xf>
    <xf numFmtId="0" fontId="3" fillId="40" borderId="30" xfId="12" applyFont="1" applyFill="1" applyBorder="1" applyAlignment="1">
      <alignment horizontal="left" vertical="center" wrapText="1"/>
    </xf>
    <xf numFmtId="0" fontId="3" fillId="40" borderId="31" xfId="12" applyFont="1" applyFill="1" applyBorder="1" applyAlignment="1">
      <alignment vertical="center" wrapText="1"/>
    </xf>
    <xf numFmtId="0" fontId="10" fillId="40" borderId="31" xfId="0" applyFont="1" applyFill="1" applyBorder="1" applyAlignment="1">
      <alignment horizontal="left" vertical="center" indent="1"/>
    </xf>
    <xf numFmtId="0" fontId="10" fillId="40" borderId="31" xfId="0" applyFont="1" applyFill="1" applyBorder="1" applyAlignment="1">
      <alignment vertical="center"/>
    </xf>
    <xf numFmtId="0" fontId="10" fillId="40" borderId="31" xfId="11" applyFont="1" applyFill="1" applyBorder="1">
      <alignment horizontal="center" vertical="center"/>
    </xf>
    <xf numFmtId="3" fontId="10" fillId="40" borderId="31" xfId="11" applyNumberFormat="1" applyFont="1" applyFill="1" applyBorder="1">
      <alignment horizontal="center" vertical="center"/>
    </xf>
    <xf numFmtId="14" fontId="10" fillId="40" borderId="31" xfId="11" applyNumberFormat="1" applyFont="1" applyFill="1" applyBorder="1">
      <alignment horizontal="center" vertical="center"/>
    </xf>
    <xf numFmtId="0" fontId="3" fillId="40" borderId="31" xfId="11" applyFont="1" applyFill="1" applyBorder="1" applyAlignment="1">
      <alignment horizontal="center" vertical="center" wrapText="1"/>
    </xf>
    <xf numFmtId="165" fontId="29" fillId="40" borderId="31" xfId="0" applyNumberFormat="1" applyFont="1" applyFill="1" applyBorder="1" applyAlignment="1">
      <alignment horizontal="center" vertical="center"/>
    </xf>
    <xf numFmtId="0" fontId="3" fillId="37" borderId="15" xfId="12" applyFont="1" applyFill="1" applyBorder="1" applyAlignment="1">
      <alignment vertical="center" wrapText="1"/>
    </xf>
    <xf numFmtId="0" fontId="10" fillId="37" borderId="15" xfId="0" applyFont="1" applyFill="1" applyBorder="1" applyAlignment="1">
      <alignment horizontal="left" vertical="center" indent="1"/>
    </xf>
    <xf numFmtId="0" fontId="10" fillId="37" borderId="15" xfId="0" applyFont="1" applyFill="1" applyBorder="1" applyAlignment="1">
      <alignment vertical="center"/>
    </xf>
    <xf numFmtId="0" fontId="10" fillId="37" borderId="15" xfId="11" applyFont="1" applyFill="1" applyBorder="1">
      <alignment horizontal="center" vertical="center"/>
    </xf>
    <xf numFmtId="3" fontId="10" fillId="37" borderId="15" xfId="11" applyNumberFormat="1" applyFont="1" applyFill="1" applyBorder="1">
      <alignment horizontal="center" vertical="center"/>
    </xf>
    <xf numFmtId="14" fontId="10" fillId="37" borderId="15" xfId="11" applyNumberFormat="1" applyFont="1" applyFill="1" applyBorder="1">
      <alignment horizontal="center" vertical="center"/>
    </xf>
    <xf numFmtId="165" fontId="29" fillId="37" borderId="15" xfId="0" applyNumberFormat="1" applyFont="1" applyFill="1" applyBorder="1" applyAlignment="1">
      <alignment horizontal="center" vertical="center"/>
    </xf>
    <xf numFmtId="0" fontId="10" fillId="37" borderId="2" xfId="0" applyFont="1" applyFill="1" applyBorder="1" applyAlignment="1">
      <alignment horizontal="left" vertical="center" indent="1"/>
    </xf>
    <xf numFmtId="0" fontId="10" fillId="37" borderId="2" xfId="0" applyFont="1" applyFill="1" applyBorder="1" applyAlignment="1">
      <alignment vertical="center"/>
    </xf>
    <xf numFmtId="0" fontId="3" fillId="37" borderId="18" xfId="12" applyFont="1" applyFill="1" applyBorder="1" applyAlignment="1">
      <alignment vertical="center" wrapText="1"/>
    </xf>
    <xf numFmtId="0" fontId="3" fillId="37" borderId="18" xfId="12" applyFont="1" applyFill="1" applyBorder="1" applyAlignment="1">
      <alignment horizontal="left" vertical="center" wrapText="1" indent="2"/>
    </xf>
    <xf numFmtId="0" fontId="3" fillId="37" borderId="18" xfId="11" applyFont="1" applyFill="1" applyBorder="1">
      <alignment horizontal="center" vertical="center"/>
    </xf>
    <xf numFmtId="9" fontId="30" fillId="41" borderId="28" xfId="2" applyFont="1" applyFill="1" applyBorder="1" applyAlignment="1">
      <alignment horizontal="center" vertical="center"/>
    </xf>
    <xf numFmtId="165" fontId="30" fillId="41" borderId="28" xfId="0" applyNumberFormat="1" applyFont="1" applyFill="1" applyBorder="1" applyAlignment="1">
      <alignment horizontal="center" vertical="center"/>
    </xf>
    <xf numFmtId="3" fontId="30" fillId="41" borderId="28" xfId="11" applyNumberFormat="1" applyFont="1" applyFill="1" applyBorder="1">
      <alignment horizontal="center" vertical="center"/>
    </xf>
    <xf numFmtId="14" fontId="4" fillId="41" borderId="20" xfId="11" applyNumberFormat="1" applyFont="1" applyFill="1" applyBorder="1">
      <alignment horizontal="center" vertical="center"/>
    </xf>
    <xf numFmtId="14" fontId="4" fillId="42" borderId="21" xfId="11" applyNumberFormat="1" applyFont="1" applyFill="1" applyBorder="1">
      <alignment horizontal="center" vertical="center"/>
    </xf>
    <xf numFmtId="0" fontId="4" fillId="42" borderId="27" xfId="12" applyFont="1" applyFill="1" applyBorder="1" applyAlignment="1">
      <alignment horizontal="left" vertical="center" wrapText="1"/>
    </xf>
    <xf numFmtId="0" fontId="4" fillId="42" borderId="28" xfId="0" applyFont="1" applyFill="1" applyBorder="1" applyAlignment="1">
      <alignment vertical="center"/>
    </xf>
    <xf numFmtId="0" fontId="4" fillId="42" borderId="28" xfId="0" applyFont="1" applyFill="1" applyBorder="1" applyAlignment="1">
      <alignment horizontal="center" vertical="center"/>
    </xf>
    <xf numFmtId="0" fontId="4" fillId="42" borderId="28" xfId="0" applyFont="1" applyFill="1" applyBorder="1" applyAlignment="1">
      <alignment horizontal="left" vertical="center" indent="1"/>
    </xf>
    <xf numFmtId="0" fontId="4" fillId="42" borderId="28" xfId="11" applyFont="1" applyFill="1" applyBorder="1">
      <alignment horizontal="center" vertical="center"/>
    </xf>
    <xf numFmtId="3" fontId="4" fillId="42" borderId="28" xfId="11" applyNumberFormat="1" applyFont="1" applyFill="1" applyBorder="1">
      <alignment horizontal="center" vertical="center"/>
    </xf>
    <xf numFmtId="14" fontId="4" fillId="42" borderId="28" xfId="11" applyNumberFormat="1" applyFont="1" applyFill="1" applyBorder="1">
      <alignment horizontal="center" vertical="center"/>
    </xf>
    <xf numFmtId="0" fontId="4" fillId="42" borderId="28" xfId="11" applyFont="1" applyFill="1" applyBorder="1" applyAlignment="1">
      <alignment horizontal="center" vertical="center" wrapText="1"/>
    </xf>
    <xf numFmtId="9" fontId="30" fillId="42" borderId="28" xfId="2" applyFont="1" applyFill="1" applyBorder="1" applyAlignment="1">
      <alignment horizontal="center" vertical="center"/>
    </xf>
    <xf numFmtId="165" fontId="31" fillId="42" borderId="28" xfId="0" applyNumberFormat="1" applyFont="1" applyFill="1" applyBorder="1" applyAlignment="1">
      <alignment horizontal="center" vertical="center"/>
    </xf>
    <xf numFmtId="0" fontId="6" fillId="43" borderId="30" xfId="12" applyFill="1" applyBorder="1" applyAlignment="1">
      <alignment horizontal="left" vertical="center" wrapText="1"/>
    </xf>
    <xf numFmtId="0" fontId="6" fillId="43" borderId="31" xfId="12" applyFill="1" applyBorder="1" applyAlignment="1">
      <alignment vertical="center" wrapText="1"/>
    </xf>
    <xf numFmtId="0" fontId="4" fillId="43" borderId="31" xfId="0" applyFont="1" applyFill="1" applyBorder="1" applyAlignment="1">
      <alignment horizontal="left" vertical="center" indent="1"/>
    </xf>
    <xf numFmtId="0" fontId="4" fillId="43" borderId="31" xfId="0" applyFont="1" applyFill="1" applyBorder="1" applyAlignment="1">
      <alignment vertical="center"/>
    </xf>
    <xf numFmtId="0" fontId="4" fillId="43" borderId="31" xfId="11" applyFont="1" applyFill="1" applyBorder="1">
      <alignment horizontal="center" vertical="center"/>
    </xf>
    <xf numFmtId="3" fontId="4" fillId="43" borderId="31" xfId="11" applyNumberFormat="1" applyFont="1" applyFill="1" applyBorder="1">
      <alignment horizontal="center" vertical="center"/>
    </xf>
    <xf numFmtId="14" fontId="4" fillId="43" borderId="31" xfId="11" applyNumberFormat="1" applyFont="1" applyFill="1" applyBorder="1">
      <alignment horizontal="center" vertical="center"/>
    </xf>
    <xf numFmtId="0" fontId="6" fillId="43" borderId="31" xfId="11" applyFill="1" applyBorder="1" applyAlignment="1">
      <alignment horizontal="center" vertical="center" wrapText="1"/>
    </xf>
    <xf numFmtId="9" fontId="29" fillId="43" borderId="31" xfId="2" applyFont="1" applyFill="1" applyBorder="1" applyAlignment="1">
      <alignment horizontal="center" vertical="center"/>
    </xf>
    <xf numFmtId="165" fontId="28" fillId="43" borderId="31" xfId="0" applyNumberFormat="1" applyFont="1" applyFill="1" applyBorder="1" applyAlignment="1">
      <alignment horizontal="center" vertical="center"/>
    </xf>
    <xf numFmtId="0" fontId="0" fillId="36" borderId="37" xfId="0" applyFill="1" applyBorder="1" applyAlignment="1">
      <alignment vertical="center"/>
    </xf>
    <xf numFmtId="1" fontId="4" fillId="41" borderId="0" xfId="11" applyNumberFormat="1" applyFont="1" applyFill="1" applyBorder="1">
      <alignment horizontal="center" vertical="center"/>
    </xf>
    <xf numFmtId="1" fontId="4" fillId="39" borderId="0" xfId="11" applyNumberFormat="1" applyFont="1" applyFill="1" applyBorder="1">
      <alignment horizontal="center" vertical="center"/>
    </xf>
    <xf numFmtId="1" fontId="4" fillId="42" borderId="0" xfId="11" applyNumberFormat="1" applyFont="1" applyFill="1" applyBorder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39" xfId="0" applyBorder="1" applyAlignment="1">
      <alignment horizontal="left" vertical="center"/>
    </xf>
    <xf numFmtId="3" fontId="4" fillId="42" borderId="28" xfId="1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5" fontId="30" fillId="37" borderId="15" xfId="0" applyNumberFormat="1" applyFont="1" applyFill="1" applyBorder="1" applyAlignment="1">
      <alignment horizontal="center" vertical="center"/>
    </xf>
    <xf numFmtId="165" fontId="30" fillId="40" borderId="31" xfId="0" applyNumberFormat="1" applyFont="1" applyFill="1" applyBorder="1" applyAlignment="1">
      <alignment horizontal="center" vertical="center"/>
    </xf>
    <xf numFmtId="0" fontId="30" fillId="40" borderId="31" xfId="0" applyFont="1" applyFill="1" applyBorder="1" applyAlignment="1">
      <alignment horizontal="center" vertical="center"/>
    </xf>
    <xf numFmtId="0" fontId="32" fillId="36" borderId="19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45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8" fillId="0" borderId="0" xfId="5" applyAlignment="1">
      <alignment horizontal="left"/>
    </xf>
    <xf numFmtId="0" fontId="4" fillId="2" borderId="1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166" fontId="21" fillId="38" borderId="14" xfId="0" applyNumberFormat="1" applyFont="1" applyFill="1" applyBorder="1" applyAlignment="1">
      <alignment horizontal="center" vertical="center"/>
    </xf>
    <xf numFmtId="0" fontId="21" fillId="38" borderId="22" xfId="0" applyFont="1" applyFill="1" applyBorder="1" applyAlignment="1">
      <alignment horizontal="center" vertical="center" shrinkToFit="1"/>
    </xf>
    <xf numFmtId="0" fontId="21" fillId="38" borderId="23" xfId="0" applyFont="1" applyFill="1" applyBorder="1" applyAlignment="1">
      <alignment horizontal="center" vertical="center" shrinkToFit="1"/>
    </xf>
    <xf numFmtId="0" fontId="21" fillId="38" borderId="24" xfId="0" applyFont="1" applyFill="1" applyBorder="1" applyAlignment="1">
      <alignment horizontal="center" vertical="center" shrinkToFit="1"/>
    </xf>
    <xf numFmtId="0" fontId="21" fillId="38" borderId="25" xfId="0" applyFont="1" applyFill="1" applyBorder="1" applyAlignment="1">
      <alignment horizontal="center" vertical="center" shrinkToFit="1"/>
    </xf>
    <xf numFmtId="166" fontId="21" fillId="38" borderId="4" xfId="0" applyNumberFormat="1" applyFont="1" applyFill="1" applyBorder="1" applyAlignment="1">
      <alignment horizontal="center" vertical="center"/>
    </xf>
    <xf numFmtId="166" fontId="21" fillId="38" borderId="1" xfId="0" applyNumberFormat="1" applyFont="1" applyFill="1" applyBorder="1" applyAlignment="1">
      <alignment horizontal="center" vertical="center"/>
    </xf>
    <xf numFmtId="166" fontId="21" fillId="38" borderId="5" xfId="0" applyNumberFormat="1" applyFont="1" applyFill="1" applyBorder="1" applyAlignment="1">
      <alignment horizontal="center" vertical="center"/>
    </xf>
    <xf numFmtId="166" fontId="21" fillId="38" borderId="0" xfId="0" applyNumberFormat="1" applyFont="1" applyFill="1" applyAlignment="1">
      <alignment horizontal="center" vertical="center"/>
    </xf>
    <xf numFmtId="0" fontId="21" fillId="38" borderId="26" xfId="0" applyFont="1" applyFill="1" applyBorder="1" applyAlignment="1">
      <alignment horizontal="center" vertical="center" shrinkToFit="1"/>
    </xf>
    <xf numFmtId="0" fontId="21" fillId="38" borderId="0" xfId="0" applyFont="1" applyFill="1" applyAlignment="1">
      <alignment horizontal="center" vertical="center" shrinkToFit="1"/>
    </xf>
    <xf numFmtId="0" fontId="21" fillId="38" borderId="6" xfId="0" applyFont="1" applyFill="1" applyBorder="1" applyAlignment="1">
      <alignment horizontal="center" vertical="center" shrinkToFit="1"/>
    </xf>
    <xf numFmtId="0" fontId="21" fillId="38" borderId="5" xfId="0" applyFont="1" applyFill="1" applyBorder="1" applyAlignment="1">
      <alignment horizontal="center" vertical="center" shrinkToFit="1"/>
    </xf>
    <xf numFmtId="0" fontId="4" fillId="35" borderId="0" xfId="0" applyFont="1" applyFill="1" applyAlignment="1">
      <alignment horizontal="left" vertical="center" wrapText="1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3" fillId="37" borderId="27" xfId="12" applyFont="1" applyFill="1" applyBorder="1" applyAlignment="1">
      <alignment horizontal="left" vertical="center" wrapText="1"/>
    </xf>
    <xf numFmtId="0" fontId="3" fillId="37" borderId="28" xfId="12" applyFont="1" applyFill="1" applyBorder="1" applyAlignment="1">
      <alignment vertical="center" wrapText="1"/>
    </xf>
    <xf numFmtId="0" fontId="10" fillId="37" borderId="28" xfId="0" applyFont="1" applyFill="1" applyBorder="1" applyAlignment="1">
      <alignment horizontal="left" vertical="center" indent="1"/>
    </xf>
    <xf numFmtId="0" fontId="10" fillId="37" borderId="28" xfId="0" applyFont="1" applyFill="1" applyBorder="1" applyAlignment="1">
      <alignment vertical="center"/>
    </xf>
    <xf numFmtId="0" fontId="10" fillId="37" borderId="28" xfId="11" applyFont="1" applyFill="1" applyBorder="1">
      <alignment horizontal="center" vertical="center"/>
    </xf>
    <xf numFmtId="3" fontId="10" fillId="37" borderId="28" xfId="11" applyNumberFormat="1" applyFont="1" applyFill="1" applyBorder="1">
      <alignment horizontal="center" vertical="center"/>
    </xf>
    <xf numFmtId="14" fontId="10" fillId="37" borderId="28" xfId="11" applyNumberFormat="1" applyFont="1" applyFill="1" applyBorder="1">
      <alignment horizontal="center" vertical="center"/>
    </xf>
    <xf numFmtId="0" fontId="3" fillId="37" borderId="28" xfId="11" applyFont="1" applyFill="1" applyBorder="1">
      <alignment horizontal="center" vertical="center"/>
    </xf>
    <xf numFmtId="9" fontId="29" fillId="37" borderId="28" xfId="2" applyFont="1" applyFill="1" applyBorder="1" applyAlignment="1">
      <alignment horizontal="center" vertical="center"/>
    </xf>
    <xf numFmtId="165" fontId="29" fillId="37" borderId="28" xfId="0" applyNumberFormat="1" applyFont="1" applyFill="1" applyBorder="1" applyAlignment="1">
      <alignment horizontal="center" vertical="center"/>
    </xf>
    <xf numFmtId="0" fontId="29" fillId="37" borderId="64" xfId="0" applyFont="1" applyFill="1" applyBorder="1" applyAlignment="1">
      <alignment horizontal="center" vertical="center"/>
    </xf>
    <xf numFmtId="0" fontId="3" fillId="37" borderId="65" xfId="12" applyFont="1" applyFill="1" applyBorder="1" applyAlignment="1">
      <alignment horizontal="left" vertical="center" wrapText="1"/>
    </xf>
    <xf numFmtId="0" fontId="3" fillId="37" borderId="2" xfId="11" applyFont="1" applyFill="1" applyBorder="1">
      <alignment horizontal="center" vertical="center"/>
    </xf>
    <xf numFmtId="0" fontId="29" fillId="37" borderId="66" xfId="0" applyFont="1" applyFill="1" applyBorder="1" applyAlignment="1">
      <alignment horizontal="center" vertical="center"/>
    </xf>
    <xf numFmtId="0" fontId="10" fillId="37" borderId="2" xfId="12" applyFont="1" applyFill="1" applyBorder="1" applyAlignment="1">
      <alignment vertical="center" wrapText="1"/>
    </xf>
    <xf numFmtId="0" fontId="10" fillId="37" borderId="2" xfId="11" applyFont="1" applyFill="1" applyBorder="1">
      <alignment horizontal="center" vertical="center"/>
    </xf>
    <xf numFmtId="3" fontId="10" fillId="37" borderId="2" xfId="11" applyNumberFormat="1" applyFont="1" applyFill="1" applyBorder="1">
      <alignment horizontal="center" vertical="center"/>
    </xf>
    <xf numFmtId="14" fontId="10" fillId="37" borderId="2" xfId="11" applyNumberFormat="1" applyFont="1" applyFill="1" applyBorder="1">
      <alignment horizontal="center" vertical="center"/>
    </xf>
    <xf numFmtId="0" fontId="10" fillId="37" borderId="2" xfId="11" applyFont="1" applyFill="1" applyBorder="1" applyAlignment="1">
      <alignment horizontal="center" vertical="center" wrapText="1"/>
    </xf>
    <xf numFmtId="165" fontId="30" fillId="37" borderId="2" xfId="10" applyFont="1" applyFill="1" applyBorder="1">
      <alignment horizontal="center" vertical="center"/>
    </xf>
    <xf numFmtId="0" fontId="30" fillId="37" borderId="67" xfId="0" applyFont="1" applyFill="1" applyBorder="1" applyAlignment="1">
      <alignment horizontal="center" vertical="center"/>
    </xf>
    <xf numFmtId="0" fontId="3" fillId="37" borderId="2" xfId="12" applyFont="1" applyFill="1" applyBorder="1" applyAlignment="1">
      <alignment vertical="center" wrapText="1"/>
    </xf>
    <xf numFmtId="0" fontId="3" fillId="37" borderId="2" xfId="12" applyFont="1" applyFill="1" applyBorder="1" applyAlignment="1">
      <alignment horizontal="left" vertical="center" wrapText="1" indent="2"/>
    </xf>
    <xf numFmtId="165" fontId="29" fillId="37" borderId="2" xfId="10" applyFont="1" applyFill="1" applyBorder="1">
      <alignment horizontal="center" vertical="center"/>
    </xf>
    <xf numFmtId="0" fontId="29" fillId="37" borderId="67" xfId="0" applyFont="1" applyFill="1" applyBorder="1" applyAlignment="1">
      <alignment horizontal="center" vertical="center"/>
    </xf>
    <xf numFmtId="0" fontId="3" fillId="37" borderId="30" xfId="12" applyFont="1" applyFill="1" applyBorder="1" applyAlignment="1">
      <alignment horizontal="left" vertical="center" wrapText="1"/>
    </xf>
    <xf numFmtId="0" fontId="3" fillId="37" borderId="31" xfId="12" applyFont="1" applyFill="1" applyBorder="1" applyAlignment="1">
      <alignment vertical="center" wrapText="1"/>
    </xf>
    <xf numFmtId="0" fontId="3" fillId="37" borderId="31" xfId="12" applyFont="1" applyFill="1" applyBorder="1" applyAlignment="1">
      <alignment horizontal="left" vertical="center" wrapText="1" indent="2"/>
    </xf>
    <xf numFmtId="0" fontId="3" fillId="37" borderId="31" xfId="11" applyFont="1" applyFill="1" applyBorder="1">
      <alignment horizontal="center" vertical="center"/>
    </xf>
    <xf numFmtId="165" fontId="29" fillId="37" borderId="31" xfId="10" applyFont="1" applyFill="1" applyBorder="1">
      <alignment horizontal="center" vertical="center"/>
    </xf>
    <xf numFmtId="0" fontId="29" fillId="37" borderId="68" xfId="0" applyFont="1" applyFill="1" applyBorder="1" applyAlignment="1">
      <alignment horizontal="center" vertical="center"/>
    </xf>
    <xf numFmtId="3" fontId="10" fillId="41" borderId="64" xfId="11" applyNumberFormat="1" applyFont="1" applyFill="1" applyBorder="1">
      <alignment horizontal="center" vertical="center"/>
    </xf>
    <xf numFmtId="0" fontId="30" fillId="40" borderId="68" xfId="0" applyFont="1" applyFill="1" applyBorder="1" applyAlignment="1">
      <alignment horizontal="center" vertical="center"/>
    </xf>
    <xf numFmtId="0" fontId="0" fillId="0" borderId="0" xfId="0" applyBorder="1"/>
    <xf numFmtId="0" fontId="21" fillId="3" borderId="69" xfId="0" applyFont="1" applyFill="1" applyBorder="1" applyAlignment="1">
      <alignment horizontal="left" vertical="center" indent="1"/>
    </xf>
    <xf numFmtId="0" fontId="21" fillId="3" borderId="70" xfId="0" applyFont="1" applyFill="1" applyBorder="1" applyAlignment="1">
      <alignment horizontal="left" vertical="center" indent="1"/>
    </xf>
    <xf numFmtId="0" fontId="21" fillId="3" borderId="70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 wrapText="1"/>
    </xf>
    <xf numFmtId="3" fontId="30" fillId="41" borderId="64" xfId="11" applyNumberFormat="1" applyFont="1" applyFill="1" applyBorder="1">
      <alignment horizontal="center" vertical="center"/>
    </xf>
    <xf numFmtId="0" fontId="29" fillId="40" borderId="68" xfId="0" applyFont="1" applyFill="1" applyBorder="1" applyAlignment="1">
      <alignment horizontal="center" vertical="center"/>
    </xf>
    <xf numFmtId="0" fontId="29" fillId="37" borderId="72" xfId="0" applyFont="1" applyFill="1" applyBorder="1" applyAlignment="1">
      <alignment horizontal="center" vertical="center"/>
    </xf>
    <xf numFmtId="0" fontId="4" fillId="37" borderId="73" xfId="12" applyFont="1" applyFill="1" applyBorder="1" applyAlignment="1">
      <alignment horizontal="left" vertical="center" wrapText="1"/>
    </xf>
    <xf numFmtId="3" fontId="31" fillId="39" borderId="64" xfId="11" applyNumberFormat="1" applyFont="1" applyFill="1" applyBorder="1">
      <alignment horizontal="center" vertical="center"/>
    </xf>
    <xf numFmtId="3" fontId="31" fillId="42" borderId="64" xfId="11" applyNumberFormat="1" applyFont="1" applyFill="1" applyBorder="1">
      <alignment horizontal="center" vertical="center"/>
    </xf>
    <xf numFmtId="0" fontId="29" fillId="43" borderId="68" xfId="0" applyFont="1" applyFill="1" applyBorder="1" applyAlignment="1">
      <alignment horizontal="center" vertical="center"/>
    </xf>
    <xf numFmtId="0" fontId="0" fillId="0" borderId="74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75" xfId="0" applyBorder="1" applyAlignment="1">
      <alignment vertical="center"/>
    </xf>
    <xf numFmtId="0" fontId="0" fillId="36" borderId="16" xfId="0" applyFill="1" applyBorder="1" applyAlignment="1">
      <alignment vertical="center"/>
    </xf>
    <xf numFmtId="0" fontId="0" fillId="0" borderId="76" xfId="0" applyBorder="1" applyAlignment="1">
      <alignment vertical="center"/>
    </xf>
  </cellXfs>
  <cellStyles count="54">
    <cellStyle name="20% - Ênfase1" xfId="31" builtinId="30" customBuiltin="1"/>
    <cellStyle name="20% - Ênfase2" xfId="35" builtinId="34" customBuiltin="1"/>
    <cellStyle name="20% - Ênfase3" xfId="39" builtinId="38" customBuiltin="1"/>
    <cellStyle name="20% - Ênfase4" xfId="43" builtinId="42" customBuiltin="1"/>
    <cellStyle name="20% - Ênfase5" xfId="47" builtinId="46" customBuiltin="1"/>
    <cellStyle name="20% - Ênfase6" xfId="51" builtinId="50" customBuiltin="1"/>
    <cellStyle name="40% - Ênfase1" xfId="32" builtinId="31" customBuiltin="1"/>
    <cellStyle name="40% - Ênfase2" xfId="36" builtinId="35" customBuiltin="1"/>
    <cellStyle name="40% - Ênfase3" xfId="40" builtinId="39" customBuiltin="1"/>
    <cellStyle name="40% - Ênfase4" xfId="44" builtinId="43" customBuiltin="1"/>
    <cellStyle name="40% - Ênfase5" xfId="48" builtinId="47" customBuiltin="1"/>
    <cellStyle name="40% - Ênfase6" xfId="52" builtinId="51" customBuiltin="1"/>
    <cellStyle name="60% - Ênfase1" xfId="33" builtinId="32" customBuiltin="1"/>
    <cellStyle name="60% - Ênfase2" xfId="37" builtinId="36" customBuiltin="1"/>
    <cellStyle name="60% - Ênfase3" xfId="41" builtinId="40" customBuiltin="1"/>
    <cellStyle name="60% - Ênfase4" xfId="45" builtinId="44" customBuiltin="1"/>
    <cellStyle name="60% - Ênfase5" xfId="49" builtinId="48" customBuiltin="1"/>
    <cellStyle name="60% - Ênfase6" xfId="53" builtinId="52" customBuiltin="1"/>
    <cellStyle name="Bom" xfId="18" builtinId="26" customBuiltin="1"/>
    <cellStyle name="Cálculo" xfId="23" builtinId="22" customBuiltin="1"/>
    <cellStyle name="Célula de Verificação" xfId="25" builtinId="23" customBuiltin="1"/>
    <cellStyle name="Célula Vinculada" xfId="24" builtinId="24" customBuiltin="1"/>
    <cellStyle name="Data" xfId="10" xr:uid="{229918B6-DD13-4F5A-97B9-305F7E002AA3}"/>
    <cellStyle name="Ênfase1" xfId="30" builtinId="29" customBuiltin="1"/>
    <cellStyle name="Ênfase2" xfId="34" builtinId="33" customBuiltin="1"/>
    <cellStyle name="Ênfase3" xfId="38" builtinId="37" customBuiltin="1"/>
    <cellStyle name="Ênfase4" xfId="42" builtinId="41" customBuiltin="1"/>
    <cellStyle name="Ênfase5" xfId="46" builtinId="45" customBuiltin="1"/>
    <cellStyle name="Ênfase6" xfId="50" builtinId="49" customBuiltin="1"/>
    <cellStyle name="Entrada" xfId="21" builtinId="20" customBuiltin="1"/>
    <cellStyle name="Hiperlink" xfId="1" builtinId="8" customBuiltin="1"/>
    <cellStyle name="Hiperlink Visitado" xfId="13" builtinId="9" customBuiltin="1"/>
    <cellStyle name="Início do Projeto" xfId="9" xr:uid="{8EB8A09A-C31C-40A3-B2C1-9449520178B8}"/>
    <cellStyle name="Moeda" xfId="15" builtinId="4" customBuiltin="1"/>
    <cellStyle name="Moeda [0]" xfId="16" builtinId="7" customBuiltin="1"/>
    <cellStyle name="Neutro" xfId="20" builtinId="28" customBuiltin="1"/>
    <cellStyle name="Nome" xfId="11" xr:uid="{B2D3C1EE-6B41-4801-AAFC-C2274E49E503}"/>
    <cellStyle name="Normal" xfId="0" builtinId="0" customBuiltin="1"/>
    <cellStyle name="Nota" xfId="27" builtinId="10" customBuiltin="1"/>
    <cellStyle name="Porcentagem" xfId="2" builtinId="5" customBuiltin="1"/>
    <cellStyle name="Ruim" xfId="19" builtinId="27" customBuiltin="1"/>
    <cellStyle name="Saída" xfId="22" builtinId="21" customBuiltin="1"/>
    <cellStyle name="Separador de milhares [0]" xfId="14" builtinId="6" customBuiltin="1"/>
    <cellStyle name="Tarefa" xfId="12" xr:uid="{6391D789-272B-4DD2-9BF3-2CDCF610FA41}"/>
    <cellStyle name="Texto de Aviso" xfId="26" builtinId="11" customBuiltin="1"/>
    <cellStyle name="Texto Explicativo" xfId="28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7" builtinId="19" customBuiltin="1"/>
    <cellStyle name="Total" xfId="29" builtinId="25" customBuiltin="1"/>
    <cellStyle name="Vírgula" xfId="4" builtinId="3" customBuiltin="1"/>
    <cellStyle name="zTextoOculto" xfId="3" xr:uid="{26E66EE6-E33F-4D77-BAE4-0FB4F5BBF673}"/>
  </cellStyles>
  <dxfs count="267"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7"/>
        </patternFill>
      </fill>
      <border>
        <left/>
        <right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istaDeTarefasPendentes" pivot="0" count="9" xr9:uid="{00000000-0011-0000-FFFF-FFFF00000000}">
      <tableStyleElement type="wholeTable" dxfId="266"/>
      <tableStyleElement type="headerRow" dxfId="265"/>
      <tableStyleElement type="totalRow" dxfId="264"/>
      <tableStyleElement type="firstColumn" dxfId="263"/>
      <tableStyleElement type="lastColumn" dxfId="262"/>
      <tableStyleElement type="firstRowStripe" dxfId="261"/>
      <tableStyleElement type="secondRowStripe" dxfId="260"/>
      <tableStyleElement type="firstColumnStripe" dxfId="259"/>
      <tableStyleElement type="secondColumnStripe" dxfId="25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158918</xdr:colOff>
      <xdr:row>1</xdr:row>
      <xdr:rowOff>76702</xdr:rowOff>
    </xdr:from>
    <xdr:to>
      <xdr:col>2</xdr:col>
      <xdr:colOff>2220106</xdr:colOff>
      <xdr:row>2</xdr:row>
      <xdr:rowOff>505327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F9CD695-33F4-F565-BBAC-7E2C24883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155" y="457702"/>
          <a:ext cx="2479032" cy="809625"/>
        </a:xfrm>
        <a:prstGeom prst="rect">
          <a:avLst/>
        </a:prstGeom>
      </xdr:spPr>
    </xdr:pic>
    <xdr:clientData/>
  </xdr:twoCellAnchor>
  <xdr:twoCellAnchor editAs="oneCell">
    <xdr:from>
      <xdr:col>17</xdr:col>
      <xdr:colOff>297656</xdr:colOff>
      <xdr:row>0</xdr:row>
      <xdr:rowOff>95250</xdr:rowOff>
    </xdr:from>
    <xdr:to>
      <xdr:col>18</xdr:col>
      <xdr:colOff>440531</xdr:colOff>
      <xdr:row>4</xdr:row>
      <xdr:rowOff>57969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AD5CAC-072A-0B18-616D-99420094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96812" y="95250"/>
          <a:ext cx="1000125" cy="1439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P249"/>
  <sheetViews>
    <sheetView showGridLines="0" tabSelected="1" showRuler="0" zoomScale="98" zoomScaleNormal="98" zoomScalePageLayoutView="70" workbookViewId="0">
      <pane xSplit="1" ySplit="6" topLeftCell="B7" activePane="bottomRight" state="frozen"/>
      <selection pane="topRight" activeCell="B1" sqref="B1"/>
      <selection pane="bottomLeft" activeCell="A8" sqref="A8"/>
      <selection pane="bottomRight" activeCell="AH75" sqref="AH75"/>
    </sheetView>
  </sheetViews>
  <sheetFormatPr defaultRowHeight="30" customHeight="1" x14ac:dyDescent="0.25"/>
  <cols>
    <col min="1" max="1" width="1.7109375" customWidth="1"/>
    <col min="2" max="2" width="6.28515625" style="7" customWidth="1"/>
    <col min="3" max="3" width="46.28515625" customWidth="1"/>
    <col min="4" max="4" width="10.85546875" customWidth="1"/>
    <col min="5" max="5" width="5.85546875" customWidth="1"/>
    <col min="6" max="6" width="6.28515625" hidden="1" customWidth="1"/>
    <col min="7" max="7" width="19.28515625" customWidth="1"/>
    <col min="8" max="10" width="11" customWidth="1"/>
    <col min="11" max="11" width="14.28515625" customWidth="1"/>
    <col min="12" max="12" width="15" customWidth="1"/>
    <col min="13" max="13" width="14" customWidth="1"/>
    <col min="14" max="14" width="18.140625" customWidth="1"/>
    <col min="15" max="15" width="23" customWidth="1"/>
    <col min="16" max="16" width="11.5703125" customWidth="1"/>
    <col min="17" max="17" width="12" style="3" customWidth="1"/>
    <col min="18" max="18" width="12.85546875" customWidth="1"/>
    <col min="19" max="19" width="9.28515625" customWidth="1"/>
    <col min="20" max="22" width="3.140625" hidden="1" customWidth="1"/>
    <col min="23" max="23" width="2.5703125" hidden="1" customWidth="1"/>
    <col min="24" max="31" width="3.140625" hidden="1" customWidth="1"/>
    <col min="32" max="32" width="3" customWidth="1"/>
    <col min="33" max="33" width="2.85546875" customWidth="1"/>
    <col min="34" max="67" width="2.5703125" customWidth="1"/>
    <col min="68" max="68" width="60.85546875" customWidth="1"/>
  </cols>
  <sheetData>
    <row r="1" spans="1:68" ht="30" customHeight="1" x14ac:dyDescent="0.45">
      <c r="B1" s="168" t="s">
        <v>159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6"/>
      <c r="S1" s="1"/>
      <c r="T1" s="10"/>
      <c r="U1" s="10"/>
      <c r="V1" s="10"/>
    </row>
    <row r="2" spans="1:68" ht="30" customHeight="1" x14ac:dyDescent="0.3">
      <c r="B2" s="7" t="s">
        <v>0</v>
      </c>
      <c r="C2" s="9"/>
      <c r="D2" s="9"/>
      <c r="E2" s="9"/>
      <c r="F2" s="9"/>
      <c r="G2" s="9"/>
      <c r="T2" s="11"/>
      <c r="U2" s="11"/>
      <c r="V2" s="11"/>
    </row>
    <row r="3" spans="1:68" ht="41.25" customHeight="1" x14ac:dyDescent="0.25">
      <c r="B3" s="7" t="s">
        <v>1</v>
      </c>
      <c r="C3" s="12"/>
      <c r="D3" s="12"/>
      <c r="E3" s="12"/>
      <c r="F3" s="12"/>
      <c r="G3" s="12"/>
      <c r="Q3"/>
    </row>
    <row r="4" spans="1:68" ht="15" customHeight="1" x14ac:dyDescent="0.25">
      <c r="B4" s="184" t="s">
        <v>95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3"/>
      <c r="Q4"/>
      <c r="T4" s="176" t="s">
        <v>30</v>
      </c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1" t="s">
        <v>34</v>
      </c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 t="s">
        <v>38</v>
      </c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 t="s">
        <v>39</v>
      </c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69" t="s">
        <v>2</v>
      </c>
    </row>
    <row r="5" spans="1:68" ht="15" customHeight="1" thickBot="1" x14ac:dyDescent="0.3">
      <c r="B5" s="8" t="s">
        <v>3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P5" s="220"/>
      <c r="Q5" s="220"/>
      <c r="R5" s="220"/>
      <c r="T5" s="178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69"/>
    </row>
    <row r="6" spans="1:68" ht="82.5" customHeight="1" thickBot="1" x14ac:dyDescent="0.3">
      <c r="B6" s="221" t="s">
        <v>4</v>
      </c>
      <c r="C6" s="222" t="s">
        <v>5</v>
      </c>
      <c r="D6" s="222" t="s">
        <v>69</v>
      </c>
      <c r="E6" s="222" t="s">
        <v>6</v>
      </c>
      <c r="F6" s="223" t="s">
        <v>7</v>
      </c>
      <c r="G6" s="223" t="s">
        <v>8</v>
      </c>
      <c r="H6" s="223" t="s">
        <v>9</v>
      </c>
      <c r="I6" s="223" t="s">
        <v>148</v>
      </c>
      <c r="J6" s="223" t="s">
        <v>64</v>
      </c>
      <c r="K6" s="223" t="s">
        <v>65</v>
      </c>
      <c r="L6" s="223" t="s">
        <v>116</v>
      </c>
      <c r="M6" s="223" t="s">
        <v>10</v>
      </c>
      <c r="N6" s="223" t="s">
        <v>11</v>
      </c>
      <c r="O6" s="223" t="s">
        <v>12</v>
      </c>
      <c r="P6" s="223" t="s">
        <v>13</v>
      </c>
      <c r="Q6" s="223" t="s">
        <v>14</v>
      </c>
      <c r="R6" s="223" t="s">
        <v>15</v>
      </c>
      <c r="S6" s="224" t="s">
        <v>16</v>
      </c>
      <c r="T6" s="173" t="s">
        <v>31</v>
      </c>
      <c r="U6" s="173"/>
      <c r="V6" s="173"/>
      <c r="W6" s="174"/>
      <c r="X6" s="175" t="s">
        <v>32</v>
      </c>
      <c r="Y6" s="173"/>
      <c r="Z6" s="173"/>
      <c r="AA6" s="174"/>
      <c r="AB6" s="175" t="s">
        <v>33</v>
      </c>
      <c r="AC6" s="173"/>
      <c r="AD6" s="173"/>
      <c r="AE6" s="180"/>
      <c r="AF6" s="172" t="s">
        <v>35</v>
      </c>
      <c r="AG6" s="173" t="str">
        <f>LEFT(TEXT(AG5,"ddd"),1)</f>
        <v>s</v>
      </c>
      <c r="AH6" s="173"/>
      <c r="AI6" s="174" t="str">
        <f>LEFT(TEXT(AI5,"ddd"),1)</f>
        <v>s</v>
      </c>
      <c r="AJ6" s="175" t="s">
        <v>36</v>
      </c>
      <c r="AK6" s="173" t="str">
        <f>LEFT(TEXT(AK5,"ddd"),1)</f>
        <v>s</v>
      </c>
      <c r="AL6" s="173"/>
      <c r="AM6" s="174" t="str">
        <f>LEFT(TEXT(AM5,"ddd"),1)</f>
        <v>s</v>
      </c>
      <c r="AN6" s="175" t="s">
        <v>37</v>
      </c>
      <c r="AO6" s="173" t="str">
        <f>LEFT(TEXT(AO5,"ddd"),1)</f>
        <v>s</v>
      </c>
      <c r="AP6" s="173"/>
      <c r="AQ6" s="180" t="str">
        <f>LEFT(TEXT(AQ5,"ddd"),1)</f>
        <v>s</v>
      </c>
      <c r="AR6" s="172" t="s">
        <v>40</v>
      </c>
      <c r="AS6" s="173" t="str">
        <f>LEFT(TEXT(AS5,"ddd"),1)</f>
        <v>s</v>
      </c>
      <c r="AT6" s="173"/>
      <c r="AU6" s="174" t="str">
        <f>LEFT(TEXT(AU5,"ddd"),1)</f>
        <v>s</v>
      </c>
      <c r="AV6" s="175" t="s">
        <v>41</v>
      </c>
      <c r="AW6" s="173" t="str">
        <f>LEFT(TEXT(AW5,"ddd"),1)</f>
        <v>s</v>
      </c>
      <c r="AX6" s="173"/>
      <c r="AY6" s="174" t="str">
        <f>LEFT(TEXT(AY5,"ddd"),1)</f>
        <v>s</v>
      </c>
      <c r="AZ6" s="175" t="s">
        <v>42</v>
      </c>
      <c r="BA6" s="173" t="str">
        <f>LEFT(TEXT(BA5,"ddd"),1)</f>
        <v>s</v>
      </c>
      <c r="BB6" s="173"/>
      <c r="BC6" s="180" t="str">
        <f>LEFT(TEXT(BC5,"ddd"),1)</f>
        <v>s</v>
      </c>
      <c r="BD6" s="181" t="s">
        <v>43</v>
      </c>
      <c r="BE6" s="181" t="str">
        <f>LEFT(TEXT(BE5,"ddd"),1)</f>
        <v>s</v>
      </c>
      <c r="BF6" s="181"/>
      <c r="BG6" s="182" t="str">
        <f>LEFT(TEXT(BG5,"ddd"),1)</f>
        <v>s</v>
      </c>
      <c r="BH6" s="183" t="s">
        <v>44</v>
      </c>
      <c r="BI6" s="181" t="str">
        <f>LEFT(TEXT(BI5,"ddd"),1)</f>
        <v>s</v>
      </c>
      <c r="BJ6" s="181"/>
      <c r="BK6" s="182" t="str">
        <f>LEFT(TEXT(BK5,"ddd"),1)</f>
        <v>s</v>
      </c>
      <c r="BL6" s="183" t="s">
        <v>45</v>
      </c>
      <c r="BM6" s="181" t="str">
        <f>LEFT(TEXT(BM5,"ddd"),1)</f>
        <v>s</v>
      </c>
      <c r="BN6" s="181"/>
      <c r="BO6" s="182" t="str">
        <f>LEFT(TEXT(BO5,"ddd"),1)</f>
        <v>s</v>
      </c>
      <c r="BP6" s="170"/>
    </row>
    <row r="7" spans="1:68" s="2" customFormat="1" ht="19.5" thickBot="1" x14ac:dyDescent="0.3">
      <c r="A7"/>
      <c r="B7" s="90">
        <v>1</v>
      </c>
      <c r="C7" s="91" t="s">
        <v>70</v>
      </c>
      <c r="D7" s="92" t="s">
        <v>77</v>
      </c>
      <c r="E7" s="92" t="s">
        <v>27</v>
      </c>
      <c r="F7" s="93"/>
      <c r="G7" s="94" t="s">
        <v>28</v>
      </c>
      <c r="H7" s="94" t="s">
        <v>29</v>
      </c>
      <c r="I7" s="95">
        <v>22585</v>
      </c>
      <c r="J7" s="95">
        <v>100</v>
      </c>
      <c r="K7" s="95" t="s">
        <v>66</v>
      </c>
      <c r="L7" s="95" t="s">
        <v>115</v>
      </c>
      <c r="M7" s="96">
        <v>45637</v>
      </c>
      <c r="N7" s="96">
        <v>45777</v>
      </c>
      <c r="O7" s="97" t="s">
        <v>155</v>
      </c>
      <c r="P7" s="98"/>
      <c r="Q7" s="99"/>
      <c r="R7" s="99"/>
      <c r="S7" s="218"/>
      <c r="T7" s="60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61"/>
      <c r="BP7" s="167" t="s">
        <v>114</v>
      </c>
    </row>
    <row r="8" spans="1:68" s="2" customFormat="1" ht="16.5" thickBot="1" x14ac:dyDescent="0.3">
      <c r="A8"/>
      <c r="B8" s="100" t="s">
        <v>17</v>
      </c>
      <c r="C8" s="101" t="s">
        <v>205</v>
      </c>
      <c r="D8" s="101"/>
      <c r="E8" s="102"/>
      <c r="F8" s="102"/>
      <c r="G8" s="103"/>
      <c r="H8" s="104"/>
      <c r="I8" s="105"/>
      <c r="J8" s="105"/>
      <c r="K8" s="105"/>
      <c r="L8" s="105"/>
      <c r="M8" s="106"/>
      <c r="N8" s="106"/>
      <c r="O8" s="107"/>
      <c r="P8" s="89">
        <v>0</v>
      </c>
      <c r="Q8" s="159">
        <v>46187</v>
      </c>
      <c r="R8" s="159">
        <f>R18</f>
        <v>46283</v>
      </c>
      <c r="S8" s="219">
        <f>IF(OR(ISBLANK(Início_da_tarefa),ISBLANK(Término_da_tarefa)),"",Término_da_tarefa-Início_da_tarefa+1)</f>
        <v>97</v>
      </c>
      <c r="T8" s="62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  <c r="BA8" s="23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63"/>
      <c r="BP8" s="166"/>
    </row>
    <row r="9" spans="1:68" s="2" customFormat="1" ht="16.5" thickBot="1" x14ac:dyDescent="0.3">
      <c r="A9"/>
      <c r="B9" s="187" t="s">
        <v>195</v>
      </c>
      <c r="C9" s="188" t="s">
        <v>182</v>
      </c>
      <c r="D9" s="188"/>
      <c r="E9" s="189"/>
      <c r="F9" s="189"/>
      <c r="G9" s="190"/>
      <c r="H9" s="191"/>
      <c r="I9" s="192"/>
      <c r="J9" s="192"/>
      <c r="K9" s="192"/>
      <c r="L9" s="192"/>
      <c r="M9" s="193"/>
      <c r="N9" s="193"/>
      <c r="O9" s="194" t="s">
        <v>183</v>
      </c>
      <c r="P9" s="195">
        <v>0</v>
      </c>
      <c r="Q9" s="196">
        <v>46187</v>
      </c>
      <c r="R9" s="196">
        <f>Q9+1</f>
        <v>46188</v>
      </c>
      <c r="S9" s="197">
        <f>IF(OR(ISBLANK(Início_da_tarefa),ISBLANK(Término_da_tarefa)),"",Término_da_tarefa-Início_da_tarefa+1)</f>
        <v>2</v>
      </c>
      <c r="T9" s="70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146"/>
      <c r="AL9" s="44"/>
      <c r="AM9" s="44"/>
      <c r="AN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71"/>
      <c r="BP9" s="157"/>
    </row>
    <row r="10" spans="1:68" s="2" customFormat="1" ht="30.75" thickBot="1" x14ac:dyDescent="0.3">
      <c r="A10"/>
      <c r="B10" s="198" t="s">
        <v>196</v>
      </c>
      <c r="C10" s="109" t="s">
        <v>193</v>
      </c>
      <c r="D10" s="109"/>
      <c r="E10" s="110"/>
      <c r="F10" s="110"/>
      <c r="G10" s="111"/>
      <c r="H10" s="112"/>
      <c r="I10" s="113"/>
      <c r="J10" s="113"/>
      <c r="K10" s="113"/>
      <c r="L10" s="113"/>
      <c r="M10" s="114"/>
      <c r="N10" s="114"/>
      <c r="O10" s="199" t="s">
        <v>187</v>
      </c>
      <c r="P10" s="79">
        <v>0</v>
      </c>
      <c r="Q10" s="115">
        <v>46160</v>
      </c>
      <c r="R10" s="115">
        <f>Q10+4</f>
        <v>46164</v>
      </c>
      <c r="S10" s="200">
        <f>IF(OR(ISBLANK(Início_da_tarefa),ISBLANK(Término_da_tarefa)),"",Término_da_tarefa-Início_da_tarefa+1)</f>
        <v>5</v>
      </c>
      <c r="T10" s="70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"/>
      <c r="AG10" s="4"/>
      <c r="AH10" s="4"/>
      <c r="AI10" s="4"/>
      <c r="AJ10" s="4"/>
      <c r="AK10" s="4"/>
      <c r="AL10" s="41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67"/>
      <c r="BP10" s="157"/>
    </row>
    <row r="11" spans="1:68" s="2" customFormat="1" ht="16.5" thickBot="1" x14ac:dyDescent="0.3">
      <c r="A11"/>
      <c r="B11" s="198" t="s">
        <v>197</v>
      </c>
      <c r="C11" s="109" t="s">
        <v>51</v>
      </c>
      <c r="D11" s="109"/>
      <c r="E11" s="110"/>
      <c r="F11" s="110"/>
      <c r="G11" s="111"/>
      <c r="H11" s="112"/>
      <c r="I11" s="113"/>
      <c r="J11" s="113"/>
      <c r="K11" s="113"/>
      <c r="L11" s="113"/>
      <c r="M11" s="114"/>
      <c r="N11" s="114"/>
      <c r="O11" s="199" t="s">
        <v>187</v>
      </c>
      <c r="P11" s="79">
        <v>0</v>
      </c>
      <c r="Q11" s="115">
        <v>46167</v>
      </c>
      <c r="R11" s="115">
        <f>Q11+4</f>
        <v>46171</v>
      </c>
      <c r="S11" s="200">
        <f>IF(OR(ISBLANK(Início_da_tarefa),ISBLANK(Término_da_tarefa)),"",Término_da_tarefa-Início_da_tarefa+1)</f>
        <v>5</v>
      </c>
      <c r="T11" s="64"/>
      <c r="U11" s="16"/>
      <c r="V11" s="16"/>
      <c r="W11" s="16"/>
      <c r="X11" s="40"/>
      <c r="Y11" s="40"/>
      <c r="Z11" s="40"/>
      <c r="AA11" s="40"/>
      <c r="AB11" s="16"/>
      <c r="AC11" s="16"/>
      <c r="AD11" s="16"/>
      <c r="AE11" s="16"/>
      <c r="AF11" s="4"/>
      <c r="AG11" s="4"/>
      <c r="AH11" s="4"/>
      <c r="AI11" s="4"/>
      <c r="AJ11" s="4"/>
      <c r="AK11" s="4"/>
      <c r="AL11" s="4"/>
      <c r="AM11" s="41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67"/>
      <c r="BP11" s="55"/>
    </row>
    <row r="12" spans="1:68" s="2" customFormat="1" ht="16.5" thickBot="1" x14ac:dyDescent="0.3">
      <c r="A12"/>
      <c r="B12" s="198" t="s">
        <v>198</v>
      </c>
      <c r="C12" s="201" t="s">
        <v>194</v>
      </c>
      <c r="D12" s="201"/>
      <c r="E12" s="116"/>
      <c r="F12" s="116"/>
      <c r="G12" s="117"/>
      <c r="H12" s="202"/>
      <c r="I12" s="203"/>
      <c r="J12" s="203"/>
      <c r="K12" s="203"/>
      <c r="L12" s="203"/>
      <c r="M12" s="204"/>
      <c r="N12" s="204"/>
      <c r="O12" s="205" t="str">
        <f>O7</f>
        <v>Credenciada</v>
      </c>
      <c r="P12" s="78">
        <v>0</v>
      </c>
      <c r="Q12" s="206">
        <v>46195</v>
      </c>
      <c r="R12" s="158">
        <f>Q12+21</f>
        <v>46216</v>
      </c>
      <c r="S12" s="207">
        <f t="shared" ref="S12:S95" si="0">IF(OR(ISBLANK(Início_da_tarefa),ISBLANK(Término_da_tarefa)),"",Término_da_tarefa-Início_da_tarefa+1)</f>
        <v>22</v>
      </c>
      <c r="T12" s="66"/>
      <c r="U12" s="4"/>
      <c r="V12" s="4"/>
      <c r="W12" s="4"/>
      <c r="X12" s="41"/>
      <c r="Y12" s="41"/>
      <c r="Z12" s="41"/>
      <c r="AA12" s="41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1"/>
      <c r="AQ12" s="41"/>
      <c r="AR12" s="41"/>
      <c r="AS12" s="41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67"/>
      <c r="BP12" s="56"/>
    </row>
    <row r="13" spans="1:68" s="2" customFormat="1" ht="16.5" thickBot="1" x14ac:dyDescent="0.3">
      <c r="A13"/>
      <c r="B13" s="198" t="s">
        <v>199</v>
      </c>
      <c r="C13" s="201" t="s">
        <v>184</v>
      </c>
      <c r="D13" s="208"/>
      <c r="E13" s="209"/>
      <c r="F13" s="14"/>
      <c r="G13" s="14"/>
      <c r="H13" s="199"/>
      <c r="I13" s="199"/>
      <c r="J13" s="199"/>
      <c r="K13" s="199"/>
      <c r="L13" s="199"/>
      <c r="M13" s="199"/>
      <c r="N13" s="199"/>
      <c r="O13" s="205" t="s">
        <v>155</v>
      </c>
      <c r="P13" s="78">
        <v>0</v>
      </c>
      <c r="Q13" s="158">
        <f>R12+1</f>
        <v>46217</v>
      </c>
      <c r="R13" s="206">
        <f>Q13+19</f>
        <v>46236</v>
      </c>
      <c r="S13" s="207">
        <f t="shared" si="0"/>
        <v>20</v>
      </c>
      <c r="T13" s="66"/>
      <c r="U13" s="4"/>
      <c r="V13" s="4"/>
      <c r="W13" s="4"/>
      <c r="X13" s="41"/>
      <c r="Y13" s="41"/>
      <c r="Z13" s="41"/>
      <c r="AA13" s="41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5"/>
      <c r="AN13" s="5"/>
      <c r="AO13" s="4"/>
      <c r="AP13" s="4"/>
      <c r="AQ13" s="4"/>
      <c r="AR13" s="4"/>
      <c r="AS13" s="4"/>
      <c r="AT13" s="41"/>
      <c r="AU13" s="41"/>
      <c r="AV13" s="41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67"/>
      <c r="BP13" s="57"/>
    </row>
    <row r="14" spans="1:68" s="2" customFormat="1" ht="16.5" thickBot="1" x14ac:dyDescent="0.3">
      <c r="A14"/>
      <c r="B14" s="198" t="s">
        <v>200</v>
      </c>
      <c r="C14" s="208" t="s">
        <v>185</v>
      </c>
      <c r="D14" s="208"/>
      <c r="E14" s="209"/>
      <c r="F14" s="14"/>
      <c r="G14" s="14"/>
      <c r="H14" s="199"/>
      <c r="I14" s="199"/>
      <c r="J14" s="199"/>
      <c r="K14" s="199"/>
      <c r="L14" s="199"/>
      <c r="M14" s="199"/>
      <c r="N14" s="199"/>
      <c r="O14" s="199" t="s">
        <v>187</v>
      </c>
      <c r="P14" s="79">
        <v>0</v>
      </c>
      <c r="Q14" s="210">
        <f>R13+1</f>
        <v>46237</v>
      </c>
      <c r="R14" s="210">
        <f>Q14+15</f>
        <v>46252</v>
      </c>
      <c r="S14" s="211">
        <f t="shared" si="0"/>
        <v>16</v>
      </c>
      <c r="T14" s="66"/>
      <c r="U14" s="4"/>
      <c r="V14" s="4"/>
      <c r="W14" s="4"/>
      <c r="X14" s="41"/>
      <c r="Y14" s="41"/>
      <c r="Z14" s="41"/>
      <c r="AA14" s="41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5"/>
      <c r="AN14" s="5"/>
      <c r="AO14" s="4"/>
      <c r="AP14" s="4"/>
      <c r="AQ14" s="4"/>
      <c r="AR14" s="4"/>
      <c r="AS14" s="4"/>
      <c r="AT14" s="4"/>
      <c r="AU14" s="4"/>
      <c r="AV14" s="41"/>
      <c r="AW14" s="41"/>
      <c r="AX14" s="41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67"/>
      <c r="BP14" s="57"/>
    </row>
    <row r="15" spans="1:68" s="2" customFormat="1" ht="16.5" thickBot="1" x14ac:dyDescent="0.3">
      <c r="A15"/>
      <c r="B15" s="198" t="s">
        <v>201</v>
      </c>
      <c r="C15" s="208" t="s">
        <v>18</v>
      </c>
      <c r="D15" s="208"/>
      <c r="E15" s="209"/>
      <c r="F15" s="14"/>
      <c r="G15" s="14"/>
      <c r="H15" s="199"/>
      <c r="I15" s="199"/>
      <c r="J15" s="199"/>
      <c r="K15" s="199"/>
      <c r="L15" s="199"/>
      <c r="M15" s="199"/>
      <c r="N15" s="199"/>
      <c r="O15" s="199" t="s">
        <v>187</v>
      </c>
      <c r="P15" s="79">
        <v>0</v>
      </c>
      <c r="Q15" s="210">
        <f>R14+1</f>
        <v>46253</v>
      </c>
      <c r="R15" s="210">
        <f>Q15+6</f>
        <v>46259</v>
      </c>
      <c r="S15" s="211">
        <f t="shared" si="0"/>
        <v>7</v>
      </c>
      <c r="T15" s="66"/>
      <c r="U15" s="4"/>
      <c r="V15" s="4"/>
      <c r="W15" s="4"/>
      <c r="X15" s="41"/>
      <c r="Y15" s="41"/>
      <c r="Z15" s="41"/>
      <c r="AA15" s="41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5"/>
      <c r="AN15" s="5"/>
      <c r="AO15" s="4"/>
      <c r="AP15" s="4"/>
      <c r="AQ15" s="4"/>
      <c r="AR15" s="4"/>
      <c r="AS15" s="4"/>
      <c r="AT15" s="4"/>
      <c r="AU15" s="4"/>
      <c r="AV15" s="4"/>
      <c r="AW15" s="4"/>
      <c r="AX15" s="41"/>
      <c r="AY15" s="41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67"/>
      <c r="BP15" s="57"/>
    </row>
    <row r="16" spans="1:68" s="2" customFormat="1" ht="16.5" thickBot="1" x14ac:dyDescent="0.3">
      <c r="A16"/>
      <c r="B16" s="198" t="s">
        <v>202</v>
      </c>
      <c r="C16" s="208" t="s">
        <v>156</v>
      </c>
      <c r="D16" s="208"/>
      <c r="E16" s="209"/>
      <c r="F16" s="14"/>
      <c r="G16" s="14"/>
      <c r="H16" s="199"/>
      <c r="I16" s="199"/>
      <c r="J16" s="199"/>
      <c r="K16" s="199"/>
      <c r="L16" s="199"/>
      <c r="M16" s="199"/>
      <c r="N16" s="199"/>
      <c r="O16" s="199" t="s">
        <v>19</v>
      </c>
      <c r="P16" s="79">
        <v>0</v>
      </c>
      <c r="Q16" s="210">
        <f>R15</f>
        <v>46259</v>
      </c>
      <c r="R16" s="210">
        <f>Q16+6</f>
        <v>46265</v>
      </c>
      <c r="S16" s="211">
        <f t="shared" si="0"/>
        <v>7</v>
      </c>
      <c r="T16" s="66"/>
      <c r="U16" s="4"/>
      <c r="V16" s="4"/>
      <c r="W16" s="4"/>
      <c r="X16" s="41"/>
      <c r="Y16" s="41"/>
      <c r="Z16" s="41"/>
      <c r="AA16" s="41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5"/>
      <c r="AN16" s="5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1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67"/>
      <c r="BP16" s="57"/>
    </row>
    <row r="17" spans="1:68" s="2" customFormat="1" ht="21.75" customHeight="1" thickBot="1" x14ac:dyDescent="0.3">
      <c r="A17"/>
      <c r="B17" s="198" t="s">
        <v>203</v>
      </c>
      <c r="C17" s="208" t="s">
        <v>20</v>
      </c>
      <c r="D17" s="208"/>
      <c r="E17" s="209"/>
      <c r="F17" s="14"/>
      <c r="G17" s="14"/>
      <c r="H17" s="199"/>
      <c r="I17" s="199"/>
      <c r="J17" s="199"/>
      <c r="K17" s="199"/>
      <c r="L17" s="199"/>
      <c r="M17" s="199"/>
      <c r="N17" s="199"/>
      <c r="O17" s="199" t="s">
        <v>186</v>
      </c>
      <c r="P17" s="79">
        <v>0</v>
      </c>
      <c r="Q17" s="210">
        <f>R16</f>
        <v>46265</v>
      </c>
      <c r="R17" s="210">
        <f>Q17+9</f>
        <v>46274</v>
      </c>
      <c r="S17" s="211">
        <f t="shared" si="0"/>
        <v>10</v>
      </c>
      <c r="T17" s="66"/>
      <c r="U17" s="4"/>
      <c r="V17" s="4"/>
      <c r="W17" s="4"/>
      <c r="X17" s="41"/>
      <c r="Y17" s="41"/>
      <c r="Z17" s="41"/>
      <c r="AA17" s="4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5"/>
      <c r="AN17" s="5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1"/>
      <c r="BA17" s="41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67"/>
      <c r="BP17" s="58"/>
    </row>
    <row r="18" spans="1:68" s="2" customFormat="1" ht="30.75" thickBot="1" x14ac:dyDescent="0.3">
      <c r="A18"/>
      <c r="B18" s="212" t="s">
        <v>204</v>
      </c>
      <c r="C18" s="213" t="s">
        <v>188</v>
      </c>
      <c r="D18" s="213"/>
      <c r="E18" s="214"/>
      <c r="F18" s="214"/>
      <c r="G18" s="214"/>
      <c r="H18" s="215"/>
      <c r="I18" s="215"/>
      <c r="J18" s="215"/>
      <c r="K18" s="215"/>
      <c r="L18" s="215"/>
      <c r="M18" s="215"/>
      <c r="N18" s="215"/>
      <c r="O18" s="215" t="s">
        <v>187</v>
      </c>
      <c r="P18" s="76">
        <v>0</v>
      </c>
      <c r="Q18" s="216">
        <f>R17</f>
        <v>46274</v>
      </c>
      <c r="R18" s="216">
        <f>Q18+9</f>
        <v>46283</v>
      </c>
      <c r="S18" s="217">
        <f t="shared" si="0"/>
        <v>10</v>
      </c>
      <c r="T18" s="68"/>
      <c r="U18" s="29"/>
      <c r="V18" s="29"/>
      <c r="W18" s="29"/>
      <c r="X18" s="42"/>
      <c r="Y18" s="42"/>
      <c r="Z18" s="42"/>
      <c r="AA18" s="42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30"/>
      <c r="AN18" s="30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42"/>
      <c r="BB18" s="42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69"/>
      <c r="BP18" s="59"/>
    </row>
    <row r="19" spans="1:68" s="2" customFormat="1" ht="23.25" customHeight="1" thickBot="1" x14ac:dyDescent="0.3">
      <c r="A19"/>
      <c r="B19" s="90">
        <v>2</v>
      </c>
      <c r="C19" s="91" t="s">
        <v>79</v>
      </c>
      <c r="D19" s="92" t="s">
        <v>78</v>
      </c>
      <c r="E19" s="92" t="s">
        <v>47</v>
      </c>
      <c r="F19" s="93"/>
      <c r="G19" s="94" t="s">
        <v>48</v>
      </c>
      <c r="H19" s="94" t="s">
        <v>29</v>
      </c>
      <c r="I19" s="95">
        <v>27059</v>
      </c>
      <c r="J19" s="95">
        <v>100</v>
      </c>
      <c r="K19" s="95" t="s">
        <v>66</v>
      </c>
      <c r="L19" s="95" t="s">
        <v>115</v>
      </c>
      <c r="M19" s="96">
        <v>45687</v>
      </c>
      <c r="N19" s="96">
        <v>45777</v>
      </c>
      <c r="O19" s="97" t="s">
        <v>155</v>
      </c>
      <c r="P19" s="121"/>
      <c r="Q19" s="122"/>
      <c r="R19" s="122"/>
      <c r="S19" s="225"/>
      <c r="T19" s="60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61"/>
      <c r="BP19" s="167" t="s">
        <v>114</v>
      </c>
    </row>
    <row r="20" spans="1:68" s="2" customFormat="1" ht="16.5" thickBot="1" x14ac:dyDescent="0.3">
      <c r="A20"/>
      <c r="B20" s="100" t="s">
        <v>22</v>
      </c>
      <c r="C20" s="101" t="s">
        <v>52</v>
      </c>
      <c r="D20" s="101"/>
      <c r="E20" s="102"/>
      <c r="F20" s="102"/>
      <c r="G20" s="103"/>
      <c r="H20" s="104"/>
      <c r="I20" s="105"/>
      <c r="J20" s="105"/>
      <c r="K20" s="105"/>
      <c r="L20" s="105"/>
      <c r="M20" s="106"/>
      <c r="N20" s="106"/>
      <c r="O20" s="107"/>
      <c r="P20" s="89">
        <v>0</v>
      </c>
      <c r="Q20" s="159">
        <v>46187</v>
      </c>
      <c r="R20" s="159">
        <f>R30</f>
        <v>46277</v>
      </c>
      <c r="S20" s="219">
        <f>IF(OR(ISBLANK(Início_da_tarefa),ISBLANK(Término_da_tarefa)),"",Término_da_tarefa-Início_da_tarefa+1)</f>
        <v>91</v>
      </c>
      <c r="T20" s="62"/>
      <c r="U20" s="15"/>
      <c r="V20" s="47"/>
      <c r="W20" s="47"/>
      <c r="X20" s="47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  <c r="BA20" s="23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63"/>
      <c r="BP20" s="166"/>
    </row>
    <row r="21" spans="1:68" s="2" customFormat="1" ht="16.5" thickBot="1" x14ac:dyDescent="0.3">
      <c r="A21"/>
      <c r="B21" s="187" t="s">
        <v>206</v>
      </c>
      <c r="C21" s="188" t="s">
        <v>182</v>
      </c>
      <c r="D21" s="188"/>
      <c r="E21" s="189"/>
      <c r="F21" s="189"/>
      <c r="G21" s="190"/>
      <c r="H21" s="191"/>
      <c r="I21" s="192"/>
      <c r="J21" s="192"/>
      <c r="K21" s="192"/>
      <c r="L21" s="192"/>
      <c r="M21" s="193"/>
      <c r="N21" s="193"/>
      <c r="O21" s="194" t="s">
        <v>183</v>
      </c>
      <c r="P21" s="195">
        <v>0</v>
      </c>
      <c r="Q21" s="196">
        <v>46187</v>
      </c>
      <c r="R21" s="196">
        <f>Q21+1</f>
        <v>46188</v>
      </c>
      <c r="S21" s="197">
        <f>IF(OR(ISBLANK(Início_da_tarefa),ISBLANK(Término_da_tarefa)),"",Término_da_tarefa-Início_da_tarefa+1)</f>
        <v>2</v>
      </c>
      <c r="T21" s="70"/>
      <c r="U21" s="44"/>
      <c r="V21" s="185"/>
      <c r="W21" s="185"/>
      <c r="X21" s="185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146"/>
      <c r="AL21" s="44"/>
      <c r="AM21" s="44"/>
      <c r="AN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61"/>
      <c r="BP21" s="155"/>
    </row>
    <row r="22" spans="1:68" s="2" customFormat="1" ht="30.75" thickBot="1" x14ac:dyDescent="0.3">
      <c r="A22"/>
      <c r="B22" s="198" t="s">
        <v>207</v>
      </c>
      <c r="C22" s="109" t="s">
        <v>193</v>
      </c>
      <c r="D22" s="109"/>
      <c r="E22" s="110"/>
      <c r="F22" s="110"/>
      <c r="G22" s="111"/>
      <c r="H22" s="112"/>
      <c r="I22" s="113"/>
      <c r="J22" s="113"/>
      <c r="K22" s="113"/>
      <c r="L22" s="113"/>
      <c r="M22" s="114"/>
      <c r="N22" s="114"/>
      <c r="O22" s="199" t="s">
        <v>187</v>
      </c>
      <c r="P22" s="79">
        <v>0</v>
      </c>
      <c r="Q22" s="115">
        <v>46160</v>
      </c>
      <c r="R22" s="115">
        <f>Q22+4</f>
        <v>46164</v>
      </c>
      <c r="S22" s="200">
        <f>IF(OR(ISBLANK(Início_da_tarefa),ISBLANK(Término_da_tarefa)),"",Término_da_tarefa-Início_da_tarefa+1)</f>
        <v>5</v>
      </c>
      <c r="T22" s="70"/>
      <c r="U22" s="44"/>
      <c r="V22" s="185"/>
      <c r="W22" s="185"/>
      <c r="X22" s="185"/>
      <c r="Y22" s="44"/>
      <c r="Z22" s="44"/>
      <c r="AA22" s="44"/>
      <c r="AB22" s="44"/>
      <c r="AC22" s="44"/>
      <c r="AD22" s="44"/>
      <c r="AE22" s="44"/>
      <c r="AF22" s="4"/>
      <c r="AG22" s="4"/>
      <c r="AH22" s="4"/>
      <c r="AI22" s="4"/>
      <c r="AJ22" s="4"/>
      <c r="AK22" s="4"/>
      <c r="AL22" s="41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65"/>
      <c r="BP22" s="155"/>
    </row>
    <row r="23" spans="1:68" s="2" customFormat="1" ht="16.5" thickBot="1" x14ac:dyDescent="0.3">
      <c r="A23"/>
      <c r="B23" s="198" t="s">
        <v>208</v>
      </c>
      <c r="C23" s="109" t="s">
        <v>51</v>
      </c>
      <c r="D23" s="109"/>
      <c r="E23" s="110"/>
      <c r="F23" s="110"/>
      <c r="G23" s="111"/>
      <c r="H23" s="112"/>
      <c r="I23" s="113"/>
      <c r="J23" s="113"/>
      <c r="K23" s="113"/>
      <c r="L23" s="113"/>
      <c r="M23" s="114"/>
      <c r="N23" s="114"/>
      <c r="O23" s="199" t="s">
        <v>187</v>
      </c>
      <c r="P23" s="79">
        <v>0</v>
      </c>
      <c r="Q23" s="115">
        <v>46167</v>
      </c>
      <c r="R23" s="115">
        <f>Q23+4</f>
        <v>46171</v>
      </c>
      <c r="S23" s="200">
        <f>IF(OR(ISBLANK(Início_da_tarefa),ISBLANK(Término_da_tarefa)),"",Término_da_tarefa-Início_da_tarefa+1)</f>
        <v>5</v>
      </c>
      <c r="T23" s="70"/>
      <c r="U23" s="44"/>
      <c r="V23" s="185"/>
      <c r="W23" s="185"/>
      <c r="X23" s="185"/>
      <c r="Y23" s="44"/>
      <c r="Z23" s="44"/>
      <c r="AA23" s="44"/>
      <c r="AB23" s="44"/>
      <c r="AC23" s="44"/>
      <c r="AD23" s="44"/>
      <c r="AE23" s="44"/>
      <c r="AF23" s="4"/>
      <c r="AG23" s="4"/>
      <c r="AH23" s="4"/>
      <c r="AI23" s="4"/>
      <c r="AJ23" s="4"/>
      <c r="AK23" s="4"/>
      <c r="AL23" s="4"/>
      <c r="AM23" s="41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186"/>
      <c r="BO23" s="65"/>
      <c r="BP23" s="155"/>
    </row>
    <row r="24" spans="1:68" s="2" customFormat="1" ht="16.5" thickBot="1" x14ac:dyDescent="0.3">
      <c r="A24"/>
      <c r="B24" s="198" t="s">
        <v>209</v>
      </c>
      <c r="C24" s="201" t="s">
        <v>194</v>
      </c>
      <c r="D24" s="201"/>
      <c r="E24" s="116"/>
      <c r="F24" s="116"/>
      <c r="G24" s="117"/>
      <c r="H24" s="202"/>
      <c r="I24" s="203"/>
      <c r="J24" s="203"/>
      <c r="K24" s="203"/>
      <c r="L24" s="203"/>
      <c r="M24" s="204"/>
      <c r="N24" s="204"/>
      <c r="O24" s="205" t="str">
        <f>O19</f>
        <v>Credenciada</v>
      </c>
      <c r="P24" s="78">
        <v>0</v>
      </c>
      <c r="Q24" s="206">
        <v>46195</v>
      </c>
      <c r="R24" s="158">
        <f>Q24+15</f>
        <v>46210</v>
      </c>
      <c r="S24" s="207">
        <f t="shared" si="0"/>
        <v>16</v>
      </c>
      <c r="T24" s="70"/>
      <c r="U24" s="44"/>
      <c r="V24" s="185"/>
      <c r="W24" s="185"/>
      <c r="X24" s="185"/>
      <c r="Y24" s="44"/>
      <c r="Z24" s="44"/>
      <c r="AA24" s="44"/>
      <c r="AB24" s="44"/>
      <c r="AC24" s="44"/>
      <c r="AD24" s="44"/>
      <c r="AE24" s="4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1"/>
      <c r="AQ24" s="41"/>
      <c r="AR24" s="41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65"/>
      <c r="BP24" s="155"/>
    </row>
    <row r="25" spans="1:68" s="2" customFormat="1" ht="16.5" thickBot="1" x14ac:dyDescent="0.3">
      <c r="A25"/>
      <c r="B25" s="198" t="s">
        <v>210</v>
      </c>
      <c r="C25" s="201" t="s">
        <v>184</v>
      </c>
      <c r="D25" s="208"/>
      <c r="E25" s="209"/>
      <c r="F25" s="14"/>
      <c r="G25" s="14"/>
      <c r="H25" s="199"/>
      <c r="I25" s="199"/>
      <c r="J25" s="199"/>
      <c r="K25" s="199"/>
      <c r="L25" s="199"/>
      <c r="M25" s="199"/>
      <c r="N25" s="199"/>
      <c r="O25" s="205" t="s">
        <v>155</v>
      </c>
      <c r="P25" s="78">
        <v>0</v>
      </c>
      <c r="Q25" s="158">
        <f>R24+1</f>
        <v>46211</v>
      </c>
      <c r="R25" s="206">
        <f>Q25+19</f>
        <v>46230</v>
      </c>
      <c r="S25" s="207">
        <f t="shared" si="0"/>
        <v>20</v>
      </c>
      <c r="T25" s="70"/>
      <c r="U25" s="44"/>
      <c r="V25" s="185"/>
      <c r="W25" s="185"/>
      <c r="X25" s="185"/>
      <c r="Y25" s="44"/>
      <c r="Z25" s="44"/>
      <c r="AA25" s="44"/>
      <c r="AB25" s="44"/>
      <c r="AC25" s="44"/>
      <c r="AD25" s="44"/>
      <c r="AE25" s="44"/>
      <c r="AF25" s="4"/>
      <c r="AG25" s="4"/>
      <c r="AH25" s="4"/>
      <c r="AI25" s="4"/>
      <c r="AJ25" s="4"/>
      <c r="AK25" s="4"/>
      <c r="AL25" s="4"/>
      <c r="AM25" s="5"/>
      <c r="AN25" s="5"/>
      <c r="AO25" s="4"/>
      <c r="AP25" s="4"/>
      <c r="AQ25" s="4"/>
      <c r="AR25" s="41"/>
      <c r="AS25" s="41"/>
      <c r="AT25" s="41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67"/>
      <c r="BP25" s="155"/>
    </row>
    <row r="26" spans="1:68" s="2" customFormat="1" ht="16.5" thickBot="1" x14ac:dyDescent="0.3">
      <c r="A26"/>
      <c r="B26" s="198" t="s">
        <v>211</v>
      </c>
      <c r="C26" s="208" t="s">
        <v>185</v>
      </c>
      <c r="D26" s="208"/>
      <c r="E26" s="209"/>
      <c r="F26" s="14"/>
      <c r="G26" s="14"/>
      <c r="H26" s="199"/>
      <c r="I26" s="199"/>
      <c r="J26" s="199"/>
      <c r="K26" s="199"/>
      <c r="L26" s="199"/>
      <c r="M26" s="199"/>
      <c r="N26" s="199"/>
      <c r="O26" s="199" t="s">
        <v>187</v>
      </c>
      <c r="P26" s="79">
        <v>0</v>
      </c>
      <c r="Q26" s="210">
        <f>R25+1</f>
        <v>46231</v>
      </c>
      <c r="R26" s="210">
        <f>Q26+15</f>
        <v>46246</v>
      </c>
      <c r="S26" s="211">
        <f t="shared" si="0"/>
        <v>16</v>
      </c>
      <c r="T26" s="70"/>
      <c r="U26" s="44"/>
      <c r="V26" s="185"/>
      <c r="W26" s="185"/>
      <c r="X26" s="185"/>
      <c r="Y26" s="44"/>
      <c r="Z26" s="44"/>
      <c r="AA26" s="44"/>
      <c r="AB26" s="44"/>
      <c r="AC26" s="44"/>
      <c r="AD26" s="44"/>
      <c r="AE26" s="44"/>
      <c r="AF26" s="4"/>
      <c r="AG26" s="4"/>
      <c r="AH26" s="4"/>
      <c r="AI26" s="4"/>
      <c r="AJ26" s="4"/>
      <c r="AK26" s="4"/>
      <c r="AL26" s="4"/>
      <c r="AM26" s="5"/>
      <c r="AN26" s="5"/>
      <c r="AO26" s="4"/>
      <c r="AP26" s="4"/>
      <c r="AQ26" s="4"/>
      <c r="AR26" s="4"/>
      <c r="AS26" s="4"/>
      <c r="AT26" s="4"/>
      <c r="AU26" s="41"/>
      <c r="AV26" s="41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67"/>
      <c r="BP26" s="155"/>
    </row>
    <row r="27" spans="1:68" s="2" customFormat="1" ht="16.5" thickBot="1" x14ac:dyDescent="0.3">
      <c r="A27"/>
      <c r="B27" s="198" t="s">
        <v>212</v>
      </c>
      <c r="C27" s="208" t="s">
        <v>18</v>
      </c>
      <c r="D27" s="208"/>
      <c r="E27" s="209"/>
      <c r="F27" s="14"/>
      <c r="G27" s="14"/>
      <c r="H27" s="199"/>
      <c r="I27" s="199"/>
      <c r="J27" s="199"/>
      <c r="K27" s="199"/>
      <c r="L27" s="199"/>
      <c r="M27" s="199"/>
      <c r="N27" s="199"/>
      <c r="O27" s="199" t="s">
        <v>187</v>
      </c>
      <c r="P27" s="79">
        <v>0</v>
      </c>
      <c r="Q27" s="210">
        <f>R26+1</f>
        <v>46247</v>
      </c>
      <c r="R27" s="210">
        <f>Q27+6</f>
        <v>46253</v>
      </c>
      <c r="S27" s="211">
        <f t="shared" si="0"/>
        <v>7</v>
      </c>
      <c r="T27" s="70"/>
      <c r="U27" s="44"/>
      <c r="V27" s="185"/>
      <c r="W27" s="185"/>
      <c r="X27" s="185"/>
      <c r="Y27" s="44"/>
      <c r="Z27" s="44"/>
      <c r="AA27" s="44"/>
      <c r="AB27" s="44"/>
      <c r="AC27" s="44"/>
      <c r="AD27" s="44"/>
      <c r="AE27" s="44"/>
      <c r="AF27" s="4"/>
      <c r="AG27" s="4"/>
      <c r="AH27" s="4"/>
      <c r="AI27" s="4"/>
      <c r="AJ27" s="4"/>
      <c r="AK27" s="4"/>
      <c r="AL27" s="4"/>
      <c r="AM27" s="5"/>
      <c r="AN27" s="5"/>
      <c r="AO27" s="4"/>
      <c r="AP27" s="4"/>
      <c r="AQ27" s="4"/>
      <c r="AR27" s="4"/>
      <c r="AS27" s="4"/>
      <c r="AT27" s="4"/>
      <c r="AU27" s="4"/>
      <c r="AV27" s="4"/>
      <c r="AW27" s="41"/>
      <c r="AX27" s="41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67"/>
      <c r="BP27" s="155"/>
    </row>
    <row r="28" spans="1:68" s="2" customFormat="1" ht="16.5" thickBot="1" x14ac:dyDescent="0.3">
      <c r="A28"/>
      <c r="B28" s="198" t="s">
        <v>213</v>
      </c>
      <c r="C28" s="208" t="s">
        <v>156</v>
      </c>
      <c r="D28" s="208"/>
      <c r="E28" s="209"/>
      <c r="F28" s="14"/>
      <c r="G28" s="14"/>
      <c r="H28" s="199"/>
      <c r="I28" s="199"/>
      <c r="J28" s="199"/>
      <c r="K28" s="199"/>
      <c r="L28" s="199"/>
      <c r="M28" s="199"/>
      <c r="N28" s="199"/>
      <c r="O28" s="199" t="s">
        <v>19</v>
      </c>
      <c r="P28" s="79">
        <v>0</v>
      </c>
      <c r="Q28" s="210">
        <f>R27</f>
        <v>46253</v>
      </c>
      <c r="R28" s="210">
        <f>Q28+6</f>
        <v>46259</v>
      </c>
      <c r="S28" s="211">
        <f t="shared" si="0"/>
        <v>7</v>
      </c>
      <c r="T28" s="70"/>
      <c r="U28" s="44"/>
      <c r="V28" s="185"/>
      <c r="W28" s="185"/>
      <c r="X28" s="185"/>
      <c r="Y28" s="44"/>
      <c r="Z28" s="44"/>
      <c r="AA28" s="44"/>
      <c r="AB28" s="44"/>
      <c r="AC28" s="44"/>
      <c r="AD28" s="44"/>
      <c r="AE28" s="44"/>
      <c r="AF28" s="4"/>
      <c r="AG28" s="4"/>
      <c r="AH28" s="4"/>
      <c r="AI28" s="4"/>
      <c r="AJ28" s="4"/>
      <c r="AK28" s="4"/>
      <c r="AL28" s="4"/>
      <c r="AM28" s="5"/>
      <c r="AN28" s="5"/>
      <c r="AO28" s="4"/>
      <c r="AP28" s="4"/>
      <c r="AQ28" s="4"/>
      <c r="AR28" s="4"/>
      <c r="AS28" s="4"/>
      <c r="AT28" s="4"/>
      <c r="AU28" s="4"/>
      <c r="AV28" s="4"/>
      <c r="AW28" s="4"/>
      <c r="AX28" s="41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67"/>
      <c r="BP28" s="155"/>
    </row>
    <row r="29" spans="1:68" s="2" customFormat="1" ht="16.5" thickBot="1" x14ac:dyDescent="0.3">
      <c r="A29"/>
      <c r="B29" s="198" t="s">
        <v>214</v>
      </c>
      <c r="C29" s="208" t="s">
        <v>20</v>
      </c>
      <c r="D29" s="208"/>
      <c r="E29" s="209"/>
      <c r="F29" s="14"/>
      <c r="G29" s="14"/>
      <c r="H29" s="199"/>
      <c r="I29" s="199"/>
      <c r="J29" s="199"/>
      <c r="K29" s="199"/>
      <c r="L29" s="199"/>
      <c r="M29" s="199"/>
      <c r="N29" s="199"/>
      <c r="O29" s="199" t="s">
        <v>186</v>
      </c>
      <c r="P29" s="79">
        <v>0</v>
      </c>
      <c r="Q29" s="210">
        <f>R28</f>
        <v>46259</v>
      </c>
      <c r="R29" s="210">
        <f>Q29+9</f>
        <v>46268</v>
      </c>
      <c r="S29" s="211">
        <f t="shared" si="0"/>
        <v>10</v>
      </c>
      <c r="T29" s="70"/>
      <c r="U29" s="44"/>
      <c r="V29" s="185"/>
      <c r="W29" s="185"/>
      <c r="X29" s="185"/>
      <c r="Y29" s="44"/>
      <c r="Z29" s="44"/>
      <c r="AA29" s="44"/>
      <c r="AB29" s="44"/>
      <c r="AC29" s="44"/>
      <c r="AD29" s="44"/>
      <c r="AE29" s="44"/>
      <c r="AF29" s="4"/>
      <c r="AG29" s="4"/>
      <c r="AH29" s="4"/>
      <c r="AI29" s="4"/>
      <c r="AJ29" s="4"/>
      <c r="AK29" s="4"/>
      <c r="AL29" s="4"/>
      <c r="AM29" s="5"/>
      <c r="AN29" s="5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1"/>
      <c r="AZ29" s="41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67"/>
      <c r="BP29" s="155"/>
    </row>
    <row r="30" spans="1:68" s="2" customFormat="1" ht="30.75" thickBot="1" x14ac:dyDescent="0.3">
      <c r="A30"/>
      <c r="B30" s="212" t="s">
        <v>215</v>
      </c>
      <c r="C30" s="213" t="s">
        <v>188</v>
      </c>
      <c r="D30" s="213"/>
      <c r="E30" s="214"/>
      <c r="F30" s="214"/>
      <c r="G30" s="214"/>
      <c r="H30" s="215"/>
      <c r="I30" s="215"/>
      <c r="J30" s="215"/>
      <c r="K30" s="215"/>
      <c r="L30" s="215"/>
      <c r="M30" s="215"/>
      <c r="N30" s="215"/>
      <c r="O30" s="215" t="s">
        <v>187</v>
      </c>
      <c r="P30" s="76">
        <v>0</v>
      </c>
      <c r="Q30" s="216">
        <f>R29</f>
        <v>46268</v>
      </c>
      <c r="R30" s="216">
        <f>Q30+9</f>
        <v>46277</v>
      </c>
      <c r="S30" s="217">
        <f t="shared" si="0"/>
        <v>10</v>
      </c>
      <c r="T30" s="70"/>
      <c r="U30" s="44"/>
      <c r="V30" s="185"/>
      <c r="W30" s="185"/>
      <c r="X30" s="185"/>
      <c r="Y30" s="44"/>
      <c r="Z30" s="44"/>
      <c r="AA30" s="44"/>
      <c r="AB30" s="44"/>
      <c r="AC30" s="44"/>
      <c r="AD30" s="44"/>
      <c r="AE30" s="44"/>
      <c r="AF30" s="29"/>
      <c r="AG30" s="29"/>
      <c r="AH30" s="29"/>
      <c r="AI30" s="29"/>
      <c r="AJ30" s="29"/>
      <c r="AK30" s="29"/>
      <c r="AL30" s="29"/>
      <c r="AM30" s="30"/>
      <c r="AN30" s="30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42"/>
      <c r="BA30" s="42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69"/>
      <c r="BP30" s="155"/>
    </row>
    <row r="31" spans="1:68" ht="30" customHeight="1" thickBot="1" x14ac:dyDescent="0.3">
      <c r="B31" s="90">
        <v>3</v>
      </c>
      <c r="C31" s="91" t="s">
        <v>70</v>
      </c>
      <c r="D31" s="92" t="s">
        <v>80</v>
      </c>
      <c r="E31" s="92" t="s">
        <v>27</v>
      </c>
      <c r="F31" s="93"/>
      <c r="G31" s="94" t="s">
        <v>50</v>
      </c>
      <c r="H31" s="94" t="s">
        <v>57</v>
      </c>
      <c r="I31" s="95">
        <v>21587</v>
      </c>
      <c r="J31" s="95">
        <v>100</v>
      </c>
      <c r="K31" s="95" t="s">
        <v>66</v>
      </c>
      <c r="L31" s="95" t="s">
        <v>117</v>
      </c>
      <c r="M31" s="96">
        <v>45938</v>
      </c>
      <c r="N31" s="96">
        <v>45822</v>
      </c>
      <c r="O31" s="97" t="s">
        <v>155</v>
      </c>
      <c r="P31" s="121"/>
      <c r="Q31" s="122"/>
      <c r="R31" s="122"/>
      <c r="S31" s="123"/>
      <c r="T31" s="60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36"/>
      <c r="AF31" s="60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61"/>
      <c r="BP31" s="164" t="s">
        <v>151</v>
      </c>
    </row>
    <row r="32" spans="1:68" s="2" customFormat="1" ht="22.5" customHeight="1" thickBot="1" x14ac:dyDescent="0.3">
      <c r="A32"/>
      <c r="B32" s="100" t="s">
        <v>96</v>
      </c>
      <c r="C32" s="101" t="s">
        <v>52</v>
      </c>
      <c r="D32" s="101"/>
      <c r="E32" s="102"/>
      <c r="F32" s="102"/>
      <c r="G32" s="103"/>
      <c r="H32" s="104"/>
      <c r="I32" s="105"/>
      <c r="J32" s="105"/>
      <c r="K32" s="105"/>
      <c r="L32" s="105"/>
      <c r="M32" s="106"/>
      <c r="N32" s="106"/>
      <c r="O32" s="107"/>
      <c r="P32" s="89">
        <v>0</v>
      </c>
      <c r="Q32" s="159">
        <v>46187</v>
      </c>
      <c r="R32" s="159">
        <f>R42</f>
        <v>46283</v>
      </c>
      <c r="S32" s="160">
        <f t="shared" si="0"/>
        <v>97</v>
      </c>
      <c r="T32" s="62"/>
      <c r="U32" s="15"/>
      <c r="V32" s="15"/>
      <c r="W32" s="15"/>
      <c r="X32" s="15"/>
      <c r="Y32" s="15"/>
      <c r="Z32" s="47"/>
      <c r="AA32" s="47"/>
      <c r="AB32" s="47"/>
      <c r="AC32" s="47"/>
      <c r="AD32" s="47"/>
      <c r="AE32" s="47"/>
      <c r="AF32" s="62"/>
      <c r="AG32" s="15"/>
      <c r="AH32" s="15"/>
      <c r="AI32" s="15"/>
      <c r="AJ32" s="15"/>
      <c r="AK32" s="15"/>
      <c r="AL32" s="15"/>
      <c r="AM32" s="15"/>
      <c r="AN32" s="15"/>
      <c r="AO32" s="1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63"/>
      <c r="BP32" s="165"/>
    </row>
    <row r="33" spans="1:68" s="2" customFormat="1" ht="22.5" customHeight="1" thickBot="1" x14ac:dyDescent="0.3">
      <c r="A33"/>
      <c r="B33" s="187" t="s">
        <v>216</v>
      </c>
      <c r="C33" s="188" t="s">
        <v>182</v>
      </c>
      <c r="D33" s="188"/>
      <c r="E33" s="189"/>
      <c r="F33" s="189"/>
      <c r="G33" s="190"/>
      <c r="H33" s="191"/>
      <c r="I33" s="192"/>
      <c r="J33" s="192"/>
      <c r="K33" s="192"/>
      <c r="L33" s="192"/>
      <c r="M33" s="193"/>
      <c r="N33" s="193"/>
      <c r="O33" s="194" t="s">
        <v>183</v>
      </c>
      <c r="P33" s="195">
        <v>0</v>
      </c>
      <c r="Q33" s="196">
        <v>46187</v>
      </c>
      <c r="R33" s="196">
        <f>Q33+1</f>
        <v>46188</v>
      </c>
      <c r="S33" s="197">
        <f>IF(OR(ISBLANK(Início_da_tarefa),ISBLANK(Término_da_tarefa)),"",Término_da_tarefa-Início_da_tarefa+1)</f>
        <v>2</v>
      </c>
      <c r="T33" s="70"/>
      <c r="U33" s="44"/>
      <c r="V33" s="44"/>
      <c r="W33" s="44"/>
      <c r="X33" s="44"/>
      <c r="Y33" s="44"/>
      <c r="Z33" s="185"/>
      <c r="AA33" s="185"/>
      <c r="AB33" s="185"/>
      <c r="AC33" s="185"/>
      <c r="AD33" s="185"/>
      <c r="AE33" s="185"/>
      <c r="AF33" s="44"/>
      <c r="AG33" s="44"/>
      <c r="AH33" s="44"/>
      <c r="AI33" s="44"/>
      <c r="AJ33" s="44"/>
      <c r="AK33" s="146"/>
      <c r="AL33" s="44"/>
      <c r="AM33" s="44"/>
      <c r="AN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71"/>
      <c r="BP33" s="154"/>
    </row>
    <row r="34" spans="1:68" s="2" customFormat="1" ht="26.25" customHeight="1" thickBot="1" x14ac:dyDescent="0.3">
      <c r="A34"/>
      <c r="B34" s="198" t="s">
        <v>217</v>
      </c>
      <c r="C34" s="109" t="s">
        <v>193</v>
      </c>
      <c r="D34" s="109"/>
      <c r="E34" s="110"/>
      <c r="F34" s="110"/>
      <c r="G34" s="111"/>
      <c r="H34" s="112"/>
      <c r="I34" s="113"/>
      <c r="J34" s="113"/>
      <c r="K34" s="113"/>
      <c r="L34" s="113"/>
      <c r="M34" s="114"/>
      <c r="N34" s="114"/>
      <c r="O34" s="199" t="s">
        <v>187</v>
      </c>
      <c r="P34" s="79">
        <v>0</v>
      </c>
      <c r="Q34" s="115">
        <v>46160</v>
      </c>
      <c r="R34" s="115">
        <f>Q34+4</f>
        <v>46164</v>
      </c>
      <c r="S34" s="200">
        <f>IF(OR(ISBLANK(Início_da_tarefa),ISBLANK(Término_da_tarefa)),"",Término_da_tarefa-Início_da_tarefa+1)</f>
        <v>5</v>
      </c>
      <c r="T34" s="70"/>
      <c r="U34" s="44"/>
      <c r="V34" s="44"/>
      <c r="W34" s="44"/>
      <c r="X34" s="44"/>
      <c r="Y34" s="44"/>
      <c r="Z34" s="185"/>
      <c r="AA34" s="185"/>
      <c r="AB34" s="185"/>
      <c r="AC34" s="185"/>
      <c r="AD34" s="185"/>
      <c r="AE34" s="185"/>
      <c r="AF34" s="4"/>
      <c r="AG34" s="4"/>
      <c r="AH34" s="4"/>
      <c r="AI34" s="4"/>
      <c r="AJ34" s="4"/>
      <c r="AK34" s="4"/>
      <c r="AL34" s="41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67"/>
      <c r="BP34" s="154"/>
    </row>
    <row r="35" spans="1:68" s="2" customFormat="1" ht="22.5" customHeight="1" thickBot="1" x14ac:dyDescent="0.3">
      <c r="A35"/>
      <c r="B35" s="198" t="s">
        <v>218</v>
      </c>
      <c r="C35" s="109" t="s">
        <v>51</v>
      </c>
      <c r="D35" s="109"/>
      <c r="E35" s="110"/>
      <c r="F35" s="110"/>
      <c r="G35" s="111"/>
      <c r="H35" s="112"/>
      <c r="I35" s="113"/>
      <c r="J35" s="113"/>
      <c r="K35" s="113"/>
      <c r="L35" s="113"/>
      <c r="M35" s="114"/>
      <c r="N35" s="114"/>
      <c r="O35" s="199" t="s">
        <v>187</v>
      </c>
      <c r="P35" s="79">
        <v>0</v>
      </c>
      <c r="Q35" s="115">
        <v>46167</v>
      </c>
      <c r="R35" s="115">
        <f>Q35+4</f>
        <v>46171</v>
      </c>
      <c r="S35" s="200">
        <f>IF(OR(ISBLANK(Início_da_tarefa),ISBLANK(Término_da_tarefa)),"",Término_da_tarefa-Início_da_tarefa+1)</f>
        <v>5</v>
      </c>
      <c r="T35" s="70"/>
      <c r="U35" s="44"/>
      <c r="V35" s="44"/>
      <c r="W35" s="44"/>
      <c r="X35" s="44"/>
      <c r="Y35" s="44"/>
      <c r="Z35" s="185"/>
      <c r="AA35" s="185"/>
      <c r="AB35" s="185"/>
      <c r="AC35" s="185"/>
      <c r="AD35" s="185"/>
      <c r="AE35" s="185"/>
      <c r="AF35" s="4"/>
      <c r="AG35" s="4"/>
      <c r="AH35" s="4"/>
      <c r="AI35" s="4"/>
      <c r="AJ35" s="4"/>
      <c r="AK35" s="4"/>
      <c r="AL35" s="4"/>
      <c r="AM35" s="41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67"/>
      <c r="BP35" s="154"/>
    </row>
    <row r="36" spans="1:68" s="2" customFormat="1" ht="22.5" customHeight="1" thickBot="1" x14ac:dyDescent="0.3">
      <c r="A36"/>
      <c r="B36" s="198" t="s">
        <v>219</v>
      </c>
      <c r="C36" s="201" t="s">
        <v>194</v>
      </c>
      <c r="D36" s="201"/>
      <c r="E36" s="116"/>
      <c r="F36" s="116"/>
      <c r="G36" s="117"/>
      <c r="H36" s="202"/>
      <c r="I36" s="203"/>
      <c r="J36" s="203"/>
      <c r="K36" s="203"/>
      <c r="L36" s="203"/>
      <c r="M36" s="204"/>
      <c r="N36" s="204"/>
      <c r="O36" s="205" t="str">
        <f>O31</f>
        <v>Credenciada</v>
      </c>
      <c r="P36" s="78">
        <v>0</v>
      </c>
      <c r="Q36" s="206">
        <v>46195</v>
      </c>
      <c r="R36" s="158">
        <f>Q36+21</f>
        <v>46216</v>
      </c>
      <c r="S36" s="207">
        <f t="shared" si="0"/>
        <v>22</v>
      </c>
      <c r="T36" s="70"/>
      <c r="U36" s="44"/>
      <c r="V36" s="44"/>
      <c r="W36" s="44"/>
      <c r="X36" s="44"/>
      <c r="Y36" s="44"/>
      <c r="Z36" s="185"/>
      <c r="AA36" s="185"/>
      <c r="AB36" s="185"/>
      <c r="AC36" s="185"/>
      <c r="AD36" s="185"/>
      <c r="AE36" s="185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1"/>
      <c r="AQ36" s="41"/>
      <c r="AR36" s="41"/>
      <c r="AS36" s="41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67"/>
      <c r="BP36" s="154"/>
    </row>
    <row r="37" spans="1:68" s="2" customFormat="1" ht="22.5" customHeight="1" thickBot="1" x14ac:dyDescent="0.3">
      <c r="A37"/>
      <c r="B37" s="198" t="s">
        <v>220</v>
      </c>
      <c r="C37" s="201" t="s">
        <v>184</v>
      </c>
      <c r="D37" s="208"/>
      <c r="E37" s="209"/>
      <c r="F37" s="14"/>
      <c r="G37" s="14"/>
      <c r="H37" s="199"/>
      <c r="I37" s="199"/>
      <c r="J37" s="199"/>
      <c r="K37" s="199"/>
      <c r="L37" s="199"/>
      <c r="M37" s="199"/>
      <c r="N37" s="199"/>
      <c r="O37" s="205" t="s">
        <v>155</v>
      </c>
      <c r="P37" s="78">
        <v>0</v>
      </c>
      <c r="Q37" s="158">
        <v>46217</v>
      </c>
      <c r="R37" s="206">
        <f>Q37+19</f>
        <v>46236</v>
      </c>
      <c r="S37" s="207">
        <f t="shared" si="0"/>
        <v>20</v>
      </c>
      <c r="T37" s="70"/>
      <c r="U37" s="44"/>
      <c r="V37" s="44"/>
      <c r="W37" s="44"/>
      <c r="X37" s="44"/>
      <c r="Y37" s="44"/>
      <c r="Z37" s="185"/>
      <c r="AA37" s="185"/>
      <c r="AB37" s="185"/>
      <c r="AC37" s="185"/>
      <c r="AD37" s="185"/>
      <c r="AE37" s="185"/>
      <c r="AF37" s="4"/>
      <c r="AG37" s="4"/>
      <c r="AH37" s="4"/>
      <c r="AI37" s="4"/>
      <c r="AJ37" s="4"/>
      <c r="AK37" s="4"/>
      <c r="AL37" s="4"/>
      <c r="AM37" s="5"/>
      <c r="AN37" s="5"/>
      <c r="AO37" s="4"/>
      <c r="AP37" s="4"/>
      <c r="AQ37" s="4"/>
      <c r="AR37" s="4"/>
      <c r="AS37" s="4"/>
      <c r="AT37" s="41"/>
      <c r="AU37" s="41"/>
      <c r="AV37" s="41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67"/>
      <c r="BP37" s="154"/>
    </row>
    <row r="38" spans="1:68" s="2" customFormat="1" ht="22.5" customHeight="1" thickBot="1" x14ac:dyDescent="0.3">
      <c r="A38"/>
      <c r="B38" s="198" t="s">
        <v>221</v>
      </c>
      <c r="C38" s="208" t="s">
        <v>185</v>
      </c>
      <c r="D38" s="208"/>
      <c r="E38" s="209"/>
      <c r="F38" s="14"/>
      <c r="G38" s="14"/>
      <c r="H38" s="199"/>
      <c r="I38" s="199"/>
      <c r="J38" s="199"/>
      <c r="K38" s="199"/>
      <c r="L38" s="199"/>
      <c r="M38" s="199"/>
      <c r="N38" s="199"/>
      <c r="O38" s="199" t="s">
        <v>187</v>
      </c>
      <c r="P38" s="79">
        <v>0</v>
      </c>
      <c r="Q38" s="210">
        <f>R37+1</f>
        <v>46237</v>
      </c>
      <c r="R38" s="210">
        <f>Q38+15</f>
        <v>46252</v>
      </c>
      <c r="S38" s="211">
        <f t="shared" si="0"/>
        <v>16</v>
      </c>
      <c r="T38" s="70"/>
      <c r="U38" s="44"/>
      <c r="V38" s="44"/>
      <c r="W38" s="44"/>
      <c r="X38" s="44"/>
      <c r="Y38" s="44"/>
      <c r="Z38" s="185"/>
      <c r="AA38" s="185"/>
      <c r="AB38" s="185"/>
      <c r="AC38" s="185"/>
      <c r="AD38" s="185"/>
      <c r="AE38" s="185"/>
      <c r="AF38" s="4"/>
      <c r="AG38" s="4"/>
      <c r="AH38" s="4"/>
      <c r="AI38" s="4"/>
      <c r="AJ38" s="4"/>
      <c r="AK38" s="4"/>
      <c r="AL38" s="4"/>
      <c r="AM38" s="5"/>
      <c r="AN38" s="5"/>
      <c r="AO38" s="4"/>
      <c r="AP38" s="4"/>
      <c r="AQ38" s="4"/>
      <c r="AR38" s="4"/>
      <c r="AS38" s="4"/>
      <c r="AT38" s="4"/>
      <c r="AU38" s="4"/>
      <c r="AV38" s="41"/>
      <c r="AW38" s="41"/>
      <c r="AX38" s="41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67"/>
      <c r="BP38" s="154"/>
    </row>
    <row r="39" spans="1:68" s="2" customFormat="1" ht="22.5" customHeight="1" thickBot="1" x14ac:dyDescent="0.3">
      <c r="A39"/>
      <c r="B39" s="198" t="s">
        <v>222</v>
      </c>
      <c r="C39" s="208" t="s">
        <v>18</v>
      </c>
      <c r="D39" s="208"/>
      <c r="E39" s="209"/>
      <c r="F39" s="14"/>
      <c r="G39" s="14"/>
      <c r="H39" s="199"/>
      <c r="I39" s="199"/>
      <c r="J39" s="199"/>
      <c r="K39" s="199"/>
      <c r="L39" s="199"/>
      <c r="M39" s="199"/>
      <c r="N39" s="199"/>
      <c r="O39" s="199" t="s">
        <v>187</v>
      </c>
      <c r="P39" s="79">
        <v>0</v>
      </c>
      <c r="Q39" s="210">
        <f>R38+1</f>
        <v>46253</v>
      </c>
      <c r="R39" s="210">
        <f>Q39+6</f>
        <v>46259</v>
      </c>
      <c r="S39" s="211">
        <f t="shared" si="0"/>
        <v>7</v>
      </c>
      <c r="T39" s="70"/>
      <c r="U39" s="44"/>
      <c r="V39" s="44"/>
      <c r="W39" s="44"/>
      <c r="X39" s="44"/>
      <c r="Y39" s="44"/>
      <c r="Z39" s="185"/>
      <c r="AA39" s="185"/>
      <c r="AB39" s="185"/>
      <c r="AC39" s="185"/>
      <c r="AD39" s="185"/>
      <c r="AE39" s="185"/>
      <c r="AF39" s="4"/>
      <c r="AG39" s="4"/>
      <c r="AH39" s="4"/>
      <c r="AI39" s="4"/>
      <c r="AJ39" s="4"/>
      <c r="AK39" s="4"/>
      <c r="AL39" s="4"/>
      <c r="AM39" s="5"/>
      <c r="AN39" s="5"/>
      <c r="AO39" s="4"/>
      <c r="AP39" s="4"/>
      <c r="AQ39" s="4"/>
      <c r="AR39" s="4"/>
      <c r="AS39" s="4"/>
      <c r="AT39" s="4"/>
      <c r="AU39" s="4"/>
      <c r="AV39" s="4"/>
      <c r="AW39" s="4"/>
      <c r="AX39" s="41"/>
      <c r="AY39" s="41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67"/>
      <c r="BP39" s="154"/>
    </row>
    <row r="40" spans="1:68" s="2" customFormat="1" ht="22.5" customHeight="1" thickBot="1" x14ac:dyDescent="0.3">
      <c r="A40"/>
      <c r="B40" s="198" t="s">
        <v>223</v>
      </c>
      <c r="C40" s="208" t="s">
        <v>156</v>
      </c>
      <c r="D40" s="208"/>
      <c r="E40" s="209"/>
      <c r="F40" s="14"/>
      <c r="G40" s="14"/>
      <c r="H40" s="199"/>
      <c r="I40" s="199"/>
      <c r="J40" s="199"/>
      <c r="K40" s="199"/>
      <c r="L40" s="199"/>
      <c r="M40" s="199"/>
      <c r="N40" s="199"/>
      <c r="O40" s="199" t="s">
        <v>19</v>
      </c>
      <c r="P40" s="79">
        <v>0</v>
      </c>
      <c r="Q40" s="210">
        <f>R39</f>
        <v>46259</v>
      </c>
      <c r="R40" s="210">
        <f>Q40+6</f>
        <v>46265</v>
      </c>
      <c r="S40" s="211">
        <f t="shared" si="0"/>
        <v>7</v>
      </c>
      <c r="T40" s="70"/>
      <c r="U40" s="44"/>
      <c r="V40" s="44"/>
      <c r="W40" s="44"/>
      <c r="X40" s="44"/>
      <c r="Y40" s="44"/>
      <c r="Z40" s="185"/>
      <c r="AA40" s="185"/>
      <c r="AB40" s="185"/>
      <c r="AC40" s="185"/>
      <c r="AD40" s="185"/>
      <c r="AE40" s="185"/>
      <c r="AF40" s="4"/>
      <c r="AG40" s="4"/>
      <c r="AH40" s="4"/>
      <c r="AI40" s="4"/>
      <c r="AJ40" s="4"/>
      <c r="AK40" s="4"/>
      <c r="AL40" s="4"/>
      <c r="AM40" s="5"/>
      <c r="AN40" s="5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1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67"/>
      <c r="BP40" s="154"/>
    </row>
    <row r="41" spans="1:68" s="2" customFormat="1" ht="22.5" customHeight="1" thickBot="1" x14ac:dyDescent="0.3">
      <c r="A41"/>
      <c r="B41" s="198" t="s">
        <v>224</v>
      </c>
      <c r="C41" s="208" t="s">
        <v>20</v>
      </c>
      <c r="D41" s="208"/>
      <c r="E41" s="209"/>
      <c r="F41" s="14"/>
      <c r="G41" s="14"/>
      <c r="H41" s="199"/>
      <c r="I41" s="199"/>
      <c r="J41" s="199"/>
      <c r="K41" s="199"/>
      <c r="L41" s="199"/>
      <c r="M41" s="199"/>
      <c r="N41" s="199"/>
      <c r="O41" s="199" t="s">
        <v>186</v>
      </c>
      <c r="P41" s="79">
        <v>0</v>
      </c>
      <c r="Q41" s="210">
        <f>R40</f>
        <v>46265</v>
      </c>
      <c r="R41" s="210">
        <f>Q41+9</f>
        <v>46274</v>
      </c>
      <c r="S41" s="211">
        <f t="shared" si="0"/>
        <v>10</v>
      </c>
      <c r="T41" s="70"/>
      <c r="U41" s="44"/>
      <c r="V41" s="44"/>
      <c r="W41" s="44"/>
      <c r="X41" s="44"/>
      <c r="Y41" s="44"/>
      <c r="Z41" s="185"/>
      <c r="AA41" s="185"/>
      <c r="AB41" s="185"/>
      <c r="AC41" s="185"/>
      <c r="AD41" s="185"/>
      <c r="AE41" s="185"/>
      <c r="AF41" s="4"/>
      <c r="AG41" s="4"/>
      <c r="AH41" s="4"/>
      <c r="AI41" s="4"/>
      <c r="AJ41" s="4"/>
      <c r="AK41" s="4"/>
      <c r="AL41" s="4"/>
      <c r="AM41" s="5"/>
      <c r="AN41" s="5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1"/>
      <c r="BA41" s="41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67"/>
      <c r="BP41" s="154"/>
    </row>
    <row r="42" spans="1:68" s="2" customFormat="1" ht="27.75" customHeight="1" thickBot="1" x14ac:dyDescent="0.3">
      <c r="A42"/>
      <c r="B42" s="212" t="s">
        <v>225</v>
      </c>
      <c r="C42" s="213" t="s">
        <v>188</v>
      </c>
      <c r="D42" s="213"/>
      <c r="E42" s="214"/>
      <c r="F42" s="214"/>
      <c r="G42" s="214"/>
      <c r="H42" s="215"/>
      <c r="I42" s="215"/>
      <c r="J42" s="215"/>
      <c r="K42" s="215"/>
      <c r="L42" s="215"/>
      <c r="M42" s="215"/>
      <c r="N42" s="215"/>
      <c r="O42" s="215" t="s">
        <v>187</v>
      </c>
      <c r="P42" s="76">
        <v>0</v>
      </c>
      <c r="Q42" s="216">
        <f>R41</f>
        <v>46274</v>
      </c>
      <c r="R42" s="216">
        <f>Q42+9</f>
        <v>46283</v>
      </c>
      <c r="S42" s="217">
        <f t="shared" si="0"/>
        <v>10</v>
      </c>
      <c r="T42" s="70"/>
      <c r="U42" s="44"/>
      <c r="V42" s="44"/>
      <c r="W42" s="44"/>
      <c r="X42" s="44"/>
      <c r="Y42" s="44"/>
      <c r="Z42" s="185"/>
      <c r="AA42" s="185"/>
      <c r="AB42" s="185"/>
      <c r="AC42" s="185"/>
      <c r="AD42" s="185"/>
      <c r="AE42" s="185"/>
      <c r="AF42" s="29"/>
      <c r="AG42" s="29"/>
      <c r="AH42" s="29"/>
      <c r="AI42" s="29"/>
      <c r="AJ42" s="29"/>
      <c r="AK42" s="29"/>
      <c r="AL42" s="29"/>
      <c r="AM42" s="30"/>
      <c r="AN42" s="30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42"/>
      <c r="BB42" s="42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69"/>
      <c r="BP42" s="154"/>
    </row>
    <row r="43" spans="1:68" ht="30" customHeight="1" thickBot="1" x14ac:dyDescent="0.3">
      <c r="B43" s="90">
        <v>4</v>
      </c>
      <c r="C43" s="91" t="s">
        <v>150</v>
      </c>
      <c r="D43" s="92" t="s">
        <v>74</v>
      </c>
      <c r="E43" s="92" t="s">
        <v>23</v>
      </c>
      <c r="F43" s="93"/>
      <c r="G43" s="94" t="s">
        <v>24</v>
      </c>
      <c r="H43" s="94" t="s">
        <v>29</v>
      </c>
      <c r="I43" s="95">
        <v>1717</v>
      </c>
      <c r="J43" s="95">
        <v>100</v>
      </c>
      <c r="K43" s="95" t="s">
        <v>66</v>
      </c>
      <c r="L43" s="95" t="s">
        <v>117</v>
      </c>
      <c r="M43" s="96">
        <v>46034</v>
      </c>
      <c r="N43" s="96">
        <v>46094</v>
      </c>
      <c r="O43" s="97" t="s">
        <v>155</v>
      </c>
      <c r="P43" s="121"/>
      <c r="Q43" s="122"/>
      <c r="R43" s="122"/>
      <c r="S43" s="225"/>
      <c r="T43" s="60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61"/>
      <c r="BP43" s="164" t="s">
        <v>152</v>
      </c>
    </row>
    <row r="44" spans="1:68" s="2" customFormat="1" ht="23.25" customHeight="1" thickBot="1" x14ac:dyDescent="0.3">
      <c r="A44"/>
      <c r="B44" s="100" t="s">
        <v>97</v>
      </c>
      <c r="C44" s="101" t="s">
        <v>52</v>
      </c>
      <c r="D44" s="101"/>
      <c r="E44" s="102"/>
      <c r="F44" s="102"/>
      <c r="G44" s="103"/>
      <c r="H44" s="104"/>
      <c r="I44" s="105"/>
      <c r="J44" s="105"/>
      <c r="K44" s="105"/>
      <c r="L44" s="105"/>
      <c r="M44" s="106"/>
      <c r="N44" s="106"/>
      <c r="O44" s="107"/>
      <c r="P44" s="89">
        <v>0</v>
      </c>
      <c r="Q44" s="159">
        <v>46187</v>
      </c>
      <c r="R44" s="159">
        <f>R54</f>
        <v>46267</v>
      </c>
      <c r="S44" s="219">
        <f t="shared" si="0"/>
        <v>81</v>
      </c>
      <c r="T44" s="62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31"/>
      <c r="AG44" s="15"/>
      <c r="AH44" s="15"/>
      <c r="AI44" s="15"/>
      <c r="AJ44" s="15"/>
      <c r="AK44" s="15"/>
      <c r="AL44" s="15"/>
      <c r="AM44" s="15"/>
      <c r="AN44" s="15"/>
      <c r="AO44" s="15"/>
      <c r="AP44" s="235"/>
      <c r="AQ44" s="235"/>
      <c r="AR44" s="235"/>
      <c r="AS44" s="235"/>
      <c r="AT44" s="235"/>
      <c r="AU44" s="235"/>
      <c r="AV44" s="235"/>
      <c r="AW44" s="235"/>
      <c r="AX44" s="235"/>
      <c r="AY44" s="235"/>
      <c r="AZ44" s="235"/>
      <c r="BA44" s="23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63"/>
      <c r="BP44" s="166"/>
    </row>
    <row r="45" spans="1:68" s="2" customFormat="1" ht="23.25" customHeight="1" thickBot="1" x14ac:dyDescent="0.3">
      <c r="A45"/>
      <c r="B45" s="198" t="s">
        <v>226</v>
      </c>
      <c r="C45" s="109" t="s">
        <v>182</v>
      </c>
      <c r="D45" s="109"/>
      <c r="E45" s="110"/>
      <c r="F45" s="110"/>
      <c r="G45" s="111"/>
      <c r="H45" s="112"/>
      <c r="I45" s="113"/>
      <c r="J45" s="113"/>
      <c r="K45" s="113"/>
      <c r="L45" s="113"/>
      <c r="M45" s="114"/>
      <c r="N45" s="114"/>
      <c r="O45" s="199" t="s">
        <v>183</v>
      </c>
      <c r="P45" s="79">
        <v>0</v>
      </c>
      <c r="Q45" s="196">
        <v>46187</v>
      </c>
      <c r="R45" s="196">
        <f>Q45+1</f>
        <v>46188</v>
      </c>
      <c r="S45" s="197">
        <f>IF(OR(ISBLANK(Início_da_tarefa),ISBLANK(Término_da_tarefa)),"",Término_da_tarefa-Início_da_tarefa+1)</f>
        <v>2</v>
      </c>
      <c r="T45" s="70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146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71"/>
      <c r="BP45" s="155"/>
    </row>
    <row r="46" spans="1:68" s="2" customFormat="1" ht="30.75" customHeight="1" thickBot="1" x14ac:dyDescent="0.3">
      <c r="A46"/>
      <c r="B46" s="198" t="s">
        <v>227</v>
      </c>
      <c r="C46" s="109" t="s">
        <v>193</v>
      </c>
      <c r="D46" s="109"/>
      <c r="E46" s="110"/>
      <c r="F46" s="110"/>
      <c r="G46" s="111"/>
      <c r="H46" s="112"/>
      <c r="I46" s="113"/>
      <c r="J46" s="113"/>
      <c r="K46" s="113"/>
      <c r="L46" s="113"/>
      <c r="M46" s="114"/>
      <c r="N46" s="114"/>
      <c r="O46" s="199" t="s">
        <v>187</v>
      </c>
      <c r="P46" s="79">
        <v>0</v>
      </c>
      <c r="Q46" s="115">
        <v>46160</v>
      </c>
      <c r="R46" s="115">
        <f>Q46+4</f>
        <v>46164</v>
      </c>
      <c r="S46" s="200">
        <f>IF(OR(ISBLANK(Início_da_tarefa),ISBLANK(Término_da_tarefa)),"",Término_da_tarefa-Início_da_tarefa+1)</f>
        <v>5</v>
      </c>
      <c r="T46" s="70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"/>
      <c r="AG46" s="4"/>
      <c r="AH46" s="4"/>
      <c r="AI46" s="4"/>
      <c r="AJ46" s="4"/>
      <c r="AK46" s="4"/>
      <c r="AL46" s="41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67"/>
      <c r="BP46" s="155"/>
    </row>
    <row r="47" spans="1:68" s="2" customFormat="1" ht="23.25" customHeight="1" thickBot="1" x14ac:dyDescent="0.3">
      <c r="A47"/>
      <c r="B47" s="198" t="s">
        <v>228</v>
      </c>
      <c r="C47" s="109" t="s">
        <v>51</v>
      </c>
      <c r="D47" s="109"/>
      <c r="E47" s="110"/>
      <c r="F47" s="110"/>
      <c r="G47" s="111"/>
      <c r="H47" s="112"/>
      <c r="I47" s="113"/>
      <c r="J47" s="113"/>
      <c r="K47" s="113"/>
      <c r="L47" s="113"/>
      <c r="M47" s="114"/>
      <c r="N47" s="114"/>
      <c r="O47" s="199" t="s">
        <v>187</v>
      </c>
      <c r="P47" s="79">
        <v>0</v>
      </c>
      <c r="Q47" s="115">
        <v>46167</v>
      </c>
      <c r="R47" s="115">
        <f>Q47+4</f>
        <v>46171</v>
      </c>
      <c r="S47" s="200">
        <f>IF(OR(ISBLANK(Início_da_tarefa),ISBLANK(Término_da_tarefa)),"",Término_da_tarefa-Início_da_tarefa+1)</f>
        <v>5</v>
      </c>
      <c r="T47" s="70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"/>
      <c r="AG47" s="4"/>
      <c r="AH47" s="4"/>
      <c r="AI47" s="4"/>
      <c r="AJ47" s="4"/>
      <c r="AK47" s="4"/>
      <c r="AL47" s="4"/>
      <c r="AM47" s="41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67"/>
      <c r="BP47" s="155"/>
    </row>
    <row r="48" spans="1:68" s="2" customFormat="1" ht="23.25" customHeight="1" thickBot="1" x14ac:dyDescent="0.3">
      <c r="A48"/>
      <c r="B48" s="198" t="s">
        <v>229</v>
      </c>
      <c r="C48" s="201" t="s">
        <v>194</v>
      </c>
      <c r="D48" s="201"/>
      <c r="E48" s="116"/>
      <c r="F48" s="116"/>
      <c r="G48" s="117"/>
      <c r="H48" s="202"/>
      <c r="I48" s="203"/>
      <c r="J48" s="203"/>
      <c r="K48" s="203"/>
      <c r="L48" s="203"/>
      <c r="M48" s="204"/>
      <c r="N48" s="204"/>
      <c r="O48" s="205" t="str">
        <f>O43</f>
        <v>Credenciada</v>
      </c>
      <c r="P48" s="78">
        <v>0</v>
      </c>
      <c r="Q48" s="206">
        <v>46195</v>
      </c>
      <c r="R48" s="158">
        <f>Q48+5</f>
        <v>46200</v>
      </c>
      <c r="S48" s="207">
        <f t="shared" si="0"/>
        <v>6</v>
      </c>
      <c r="T48" s="70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1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67"/>
      <c r="BP48" s="155"/>
    </row>
    <row r="49" spans="1:68" s="2" customFormat="1" ht="23.25" customHeight="1" thickBot="1" x14ac:dyDescent="0.3">
      <c r="A49"/>
      <c r="B49" s="198" t="s">
        <v>230</v>
      </c>
      <c r="C49" s="201" t="s">
        <v>184</v>
      </c>
      <c r="D49" s="208"/>
      <c r="E49" s="209"/>
      <c r="F49" s="14"/>
      <c r="G49" s="14"/>
      <c r="H49" s="199"/>
      <c r="I49" s="199"/>
      <c r="J49" s="199"/>
      <c r="K49" s="199"/>
      <c r="L49" s="199"/>
      <c r="M49" s="199"/>
      <c r="N49" s="199"/>
      <c r="O49" s="205" t="s">
        <v>155</v>
      </c>
      <c r="P49" s="78">
        <v>0</v>
      </c>
      <c r="Q49" s="158">
        <f>R48+1</f>
        <v>46201</v>
      </c>
      <c r="R49" s="206">
        <f>Q49+19</f>
        <v>46220</v>
      </c>
      <c r="S49" s="207">
        <f t="shared" si="0"/>
        <v>20</v>
      </c>
      <c r="T49" s="70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"/>
      <c r="AG49" s="4"/>
      <c r="AH49" s="4"/>
      <c r="AI49" s="4"/>
      <c r="AJ49" s="4"/>
      <c r="AK49" s="4"/>
      <c r="AL49" s="4"/>
      <c r="AM49" s="5"/>
      <c r="AN49" s="5"/>
      <c r="AO49" s="4"/>
      <c r="AP49" s="4"/>
      <c r="AQ49" s="41"/>
      <c r="AR49" s="41"/>
      <c r="AS49" s="41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67"/>
      <c r="BP49" s="155"/>
    </row>
    <row r="50" spans="1:68" s="2" customFormat="1" ht="23.25" customHeight="1" thickBot="1" x14ac:dyDescent="0.3">
      <c r="A50"/>
      <c r="B50" s="198" t="s">
        <v>231</v>
      </c>
      <c r="C50" s="208" t="s">
        <v>185</v>
      </c>
      <c r="D50" s="208"/>
      <c r="E50" s="209"/>
      <c r="F50" s="14"/>
      <c r="G50" s="14"/>
      <c r="H50" s="199"/>
      <c r="I50" s="199"/>
      <c r="J50" s="199"/>
      <c r="K50" s="199"/>
      <c r="L50" s="199"/>
      <c r="M50" s="199"/>
      <c r="N50" s="199"/>
      <c r="O50" s="199" t="s">
        <v>187</v>
      </c>
      <c r="P50" s="79">
        <v>0</v>
      </c>
      <c r="Q50" s="210">
        <f>R49+1</f>
        <v>46221</v>
      </c>
      <c r="R50" s="210">
        <f>Q50+15</f>
        <v>46236</v>
      </c>
      <c r="S50" s="211">
        <f t="shared" si="0"/>
        <v>16</v>
      </c>
      <c r="T50" s="70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"/>
      <c r="AG50" s="4"/>
      <c r="AH50" s="4"/>
      <c r="AI50" s="4"/>
      <c r="AJ50" s="4"/>
      <c r="AK50" s="4"/>
      <c r="AL50" s="4"/>
      <c r="AM50" s="5"/>
      <c r="AN50" s="5"/>
      <c r="AO50" s="4"/>
      <c r="AP50" s="4"/>
      <c r="AQ50" s="4"/>
      <c r="AR50" s="4"/>
      <c r="AS50" s="4"/>
      <c r="AT50" s="41"/>
      <c r="AU50" s="41"/>
      <c r="AV50" s="41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67"/>
      <c r="BP50" s="155"/>
    </row>
    <row r="51" spans="1:68" s="2" customFormat="1" ht="23.25" customHeight="1" thickBot="1" x14ac:dyDescent="0.3">
      <c r="A51"/>
      <c r="B51" s="198" t="s">
        <v>232</v>
      </c>
      <c r="C51" s="208" t="s">
        <v>18</v>
      </c>
      <c r="D51" s="208"/>
      <c r="E51" s="209"/>
      <c r="F51" s="14"/>
      <c r="G51" s="14"/>
      <c r="H51" s="199"/>
      <c r="I51" s="199"/>
      <c r="J51" s="199"/>
      <c r="K51" s="199"/>
      <c r="L51" s="199"/>
      <c r="M51" s="199"/>
      <c r="N51" s="199"/>
      <c r="O51" s="199" t="s">
        <v>187</v>
      </c>
      <c r="P51" s="79">
        <v>0</v>
      </c>
      <c r="Q51" s="210">
        <f>R50+1</f>
        <v>46237</v>
      </c>
      <c r="R51" s="210">
        <f>Q51+6</f>
        <v>46243</v>
      </c>
      <c r="S51" s="211">
        <f t="shared" si="0"/>
        <v>7</v>
      </c>
      <c r="T51" s="70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"/>
      <c r="AG51" s="4"/>
      <c r="AH51" s="4"/>
      <c r="AI51" s="4"/>
      <c r="AJ51" s="4"/>
      <c r="AK51" s="4"/>
      <c r="AL51" s="4"/>
      <c r="AM51" s="5"/>
      <c r="AN51" s="5"/>
      <c r="AO51" s="4"/>
      <c r="AP51" s="4"/>
      <c r="AQ51" s="4"/>
      <c r="AR51" s="4"/>
      <c r="AS51" s="4"/>
      <c r="AT51" s="4"/>
      <c r="AU51" s="4"/>
      <c r="AV51" s="41"/>
      <c r="AW51" s="41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67"/>
      <c r="BP51" s="155"/>
    </row>
    <row r="52" spans="1:68" s="2" customFormat="1" ht="23.25" customHeight="1" thickBot="1" x14ac:dyDescent="0.3">
      <c r="A52"/>
      <c r="B52" s="198" t="s">
        <v>233</v>
      </c>
      <c r="C52" s="208" t="s">
        <v>156</v>
      </c>
      <c r="D52" s="208"/>
      <c r="E52" s="209"/>
      <c r="F52" s="14"/>
      <c r="G52" s="14"/>
      <c r="H52" s="199"/>
      <c r="I52" s="199"/>
      <c r="J52" s="199"/>
      <c r="K52" s="199"/>
      <c r="L52" s="199"/>
      <c r="M52" s="199"/>
      <c r="N52" s="199"/>
      <c r="O52" s="199" t="s">
        <v>19</v>
      </c>
      <c r="P52" s="79">
        <v>0</v>
      </c>
      <c r="Q52" s="210">
        <f>R51</f>
        <v>46243</v>
      </c>
      <c r="R52" s="210">
        <f>Q52+6</f>
        <v>46249</v>
      </c>
      <c r="S52" s="211">
        <f t="shared" si="0"/>
        <v>7</v>
      </c>
      <c r="T52" s="70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"/>
      <c r="AG52" s="4"/>
      <c r="AH52" s="4"/>
      <c r="AI52" s="4"/>
      <c r="AJ52" s="4"/>
      <c r="AK52" s="4"/>
      <c r="AL52" s="4"/>
      <c r="AM52" s="5"/>
      <c r="AN52" s="5"/>
      <c r="AO52" s="4"/>
      <c r="AP52" s="4"/>
      <c r="AQ52" s="4"/>
      <c r="AR52" s="4"/>
      <c r="AS52" s="4"/>
      <c r="AT52" s="4"/>
      <c r="AU52" s="4"/>
      <c r="AV52" s="4"/>
      <c r="AW52" s="41"/>
      <c r="AX52" s="41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67"/>
      <c r="BP52" s="155"/>
    </row>
    <row r="53" spans="1:68" s="2" customFormat="1" ht="23.25" customHeight="1" thickBot="1" x14ac:dyDescent="0.3">
      <c r="A53"/>
      <c r="B53" s="198" t="s">
        <v>234</v>
      </c>
      <c r="C53" s="208" t="s">
        <v>20</v>
      </c>
      <c r="D53" s="208"/>
      <c r="E53" s="209"/>
      <c r="F53" s="14"/>
      <c r="G53" s="14"/>
      <c r="H53" s="199"/>
      <c r="I53" s="199"/>
      <c r="J53" s="199"/>
      <c r="K53" s="199"/>
      <c r="L53" s="199"/>
      <c r="M53" s="199"/>
      <c r="N53" s="199"/>
      <c r="O53" s="199" t="s">
        <v>186</v>
      </c>
      <c r="P53" s="79">
        <v>0</v>
      </c>
      <c r="Q53" s="210">
        <f>R52</f>
        <v>46249</v>
      </c>
      <c r="R53" s="210">
        <f>Q53+9</f>
        <v>46258</v>
      </c>
      <c r="S53" s="211">
        <f t="shared" si="0"/>
        <v>10</v>
      </c>
      <c r="T53" s="70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"/>
      <c r="AG53" s="4"/>
      <c r="AH53" s="4"/>
      <c r="AI53" s="4"/>
      <c r="AJ53" s="4"/>
      <c r="AK53" s="4"/>
      <c r="AL53" s="4"/>
      <c r="AM53" s="5"/>
      <c r="AN53" s="5"/>
      <c r="AO53" s="4"/>
      <c r="AP53" s="4"/>
      <c r="AQ53" s="4"/>
      <c r="AR53" s="4"/>
      <c r="AS53" s="4"/>
      <c r="AT53" s="4"/>
      <c r="AU53" s="4"/>
      <c r="AV53" s="4"/>
      <c r="AW53" s="4"/>
      <c r="AX53" s="41"/>
      <c r="AY53" s="41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67"/>
      <c r="BP53" s="155"/>
    </row>
    <row r="54" spans="1:68" s="2" customFormat="1" ht="30.75" customHeight="1" thickBot="1" x14ac:dyDescent="0.3">
      <c r="A54"/>
      <c r="B54" s="212" t="s">
        <v>235</v>
      </c>
      <c r="C54" s="213" t="s">
        <v>188</v>
      </c>
      <c r="D54" s="213"/>
      <c r="E54" s="214"/>
      <c r="F54" s="214"/>
      <c r="G54" s="214"/>
      <c r="H54" s="215"/>
      <c r="I54" s="215"/>
      <c r="J54" s="215"/>
      <c r="K54" s="215"/>
      <c r="L54" s="215"/>
      <c r="M54" s="215"/>
      <c r="N54" s="215"/>
      <c r="O54" s="215" t="s">
        <v>187</v>
      </c>
      <c r="P54" s="76">
        <v>0</v>
      </c>
      <c r="Q54" s="216">
        <f>R53</f>
        <v>46258</v>
      </c>
      <c r="R54" s="216">
        <f>Q54+9</f>
        <v>46267</v>
      </c>
      <c r="S54" s="217">
        <f t="shared" si="0"/>
        <v>10</v>
      </c>
      <c r="T54" s="70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29"/>
      <c r="AG54" s="29"/>
      <c r="AH54" s="29"/>
      <c r="AI54" s="29"/>
      <c r="AJ54" s="29"/>
      <c r="AK54" s="29"/>
      <c r="AL54" s="29"/>
      <c r="AM54" s="30"/>
      <c r="AN54" s="30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42"/>
      <c r="AZ54" s="42"/>
      <c r="BA54" s="29"/>
      <c r="BB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69"/>
      <c r="BP54" s="155"/>
    </row>
    <row r="55" spans="1:68" ht="30" customHeight="1" thickBot="1" x14ac:dyDescent="0.3">
      <c r="B55" s="90">
        <v>5</v>
      </c>
      <c r="C55" s="91" t="s">
        <v>71</v>
      </c>
      <c r="D55" s="92" t="s">
        <v>72</v>
      </c>
      <c r="E55" s="92" t="s">
        <v>58</v>
      </c>
      <c r="F55" s="93"/>
      <c r="G55" s="94" t="s">
        <v>75</v>
      </c>
      <c r="H55" s="94" t="s">
        <v>57</v>
      </c>
      <c r="I55" s="95">
        <v>450</v>
      </c>
      <c r="J55" s="95">
        <v>100</v>
      </c>
      <c r="K55" s="95" t="s">
        <v>66</v>
      </c>
      <c r="L55" s="95" t="s">
        <v>115</v>
      </c>
      <c r="M55" s="96">
        <v>46078</v>
      </c>
      <c r="N55" s="96">
        <v>46368</v>
      </c>
      <c r="O55" s="97" t="s">
        <v>155</v>
      </c>
      <c r="P55" s="121"/>
      <c r="Q55" s="122"/>
      <c r="R55" s="122"/>
      <c r="S55" s="225"/>
      <c r="T55" s="49"/>
      <c r="U55" s="50"/>
      <c r="V55" s="50"/>
      <c r="W55" s="50"/>
      <c r="X55" s="50"/>
      <c r="Y55" s="50"/>
      <c r="Z55" s="50"/>
      <c r="AA55" s="50"/>
      <c r="AB55" s="50"/>
      <c r="AC55" s="51"/>
      <c r="AD55" s="51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2"/>
      <c r="BP55" s="48"/>
    </row>
    <row r="56" spans="1:68" ht="18" customHeight="1" thickBot="1" x14ac:dyDescent="0.3">
      <c r="B56" s="100" t="s">
        <v>98</v>
      </c>
      <c r="C56" s="101" t="s">
        <v>52</v>
      </c>
      <c r="D56" s="101"/>
      <c r="E56" s="102"/>
      <c r="F56" s="102"/>
      <c r="G56" s="103"/>
      <c r="H56" s="104"/>
      <c r="I56" s="105"/>
      <c r="J56" s="105"/>
      <c r="K56" s="105"/>
      <c r="L56" s="105"/>
      <c r="M56" s="106"/>
      <c r="N56" s="106"/>
      <c r="O56" s="107"/>
      <c r="P56" s="89">
        <v>0</v>
      </c>
      <c r="Q56" s="159">
        <v>46187</v>
      </c>
      <c r="R56" s="159">
        <f>R66</f>
        <v>46269</v>
      </c>
      <c r="S56" s="219">
        <f t="shared" si="0"/>
        <v>83</v>
      </c>
      <c r="T56" s="62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31"/>
      <c r="AG56" s="15"/>
      <c r="AH56" s="15"/>
      <c r="AI56" s="15"/>
      <c r="AJ56" s="15"/>
      <c r="AK56" s="15"/>
      <c r="AL56" s="15"/>
      <c r="AM56" s="15"/>
      <c r="AN56" s="15"/>
      <c r="AO56" s="235"/>
      <c r="AP56" s="235"/>
      <c r="AQ56" s="235"/>
      <c r="AR56" s="235"/>
      <c r="AS56" s="235"/>
      <c r="AT56" s="235"/>
      <c r="AU56" s="235"/>
      <c r="AV56" s="235"/>
      <c r="AW56" s="235"/>
      <c r="AX56" s="235"/>
      <c r="AY56" s="235"/>
      <c r="AZ56" s="235"/>
      <c r="BA56" s="23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63"/>
      <c r="BP56" s="48"/>
    </row>
    <row r="57" spans="1:68" ht="18" customHeight="1" thickBot="1" x14ac:dyDescent="0.3">
      <c r="B57" s="198" t="s">
        <v>236</v>
      </c>
      <c r="C57" s="109" t="s">
        <v>182</v>
      </c>
      <c r="D57" s="109"/>
      <c r="E57" s="110"/>
      <c r="F57" s="110"/>
      <c r="G57" s="111"/>
      <c r="H57" s="112"/>
      <c r="I57" s="113"/>
      <c r="J57" s="113"/>
      <c r="K57" s="113"/>
      <c r="L57" s="113"/>
      <c r="M57" s="114"/>
      <c r="N57" s="114"/>
      <c r="O57" s="199" t="s">
        <v>183</v>
      </c>
      <c r="P57" s="79">
        <v>0</v>
      </c>
      <c r="Q57" s="196">
        <v>46187</v>
      </c>
      <c r="R57" s="196">
        <f>Q57+1</f>
        <v>46188</v>
      </c>
      <c r="S57" s="197">
        <f>IF(OR(ISBLANK(Início_da_tarefa),ISBLANK(Término_da_tarefa)),"",Término_da_tarefa-Início_da_tarefa+1)</f>
        <v>2</v>
      </c>
      <c r="T57" s="70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146"/>
      <c r="AL57" s="44"/>
      <c r="AM57" s="44"/>
      <c r="AN57" s="44"/>
      <c r="AO57" s="2"/>
      <c r="AP57" s="2"/>
      <c r="AQ57" s="2"/>
      <c r="AR57" s="2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71"/>
      <c r="BP57" s="48"/>
    </row>
    <row r="58" spans="1:68" ht="28.5" customHeight="1" thickBot="1" x14ac:dyDescent="0.3">
      <c r="B58" s="198" t="s">
        <v>237</v>
      </c>
      <c r="C58" s="109" t="s">
        <v>193</v>
      </c>
      <c r="D58" s="109"/>
      <c r="E58" s="110"/>
      <c r="F58" s="110"/>
      <c r="G58" s="111"/>
      <c r="H58" s="112"/>
      <c r="I58" s="113"/>
      <c r="J58" s="113"/>
      <c r="K58" s="113"/>
      <c r="L58" s="113"/>
      <c r="M58" s="114"/>
      <c r="N58" s="114"/>
      <c r="O58" s="199" t="s">
        <v>187</v>
      </c>
      <c r="P58" s="79">
        <v>0</v>
      </c>
      <c r="Q58" s="115">
        <v>46160</v>
      </c>
      <c r="R58" s="115">
        <f>Q58+4</f>
        <v>46164</v>
      </c>
      <c r="S58" s="200">
        <f>IF(OR(ISBLANK(Início_da_tarefa),ISBLANK(Término_da_tarefa)),"",Término_da_tarefa-Início_da_tarefa+1)</f>
        <v>5</v>
      </c>
      <c r="T58" s="70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"/>
      <c r="AG58" s="4"/>
      <c r="AH58" s="4"/>
      <c r="AI58" s="4"/>
      <c r="AJ58" s="4"/>
      <c r="AK58" s="4"/>
      <c r="AL58" s="41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67"/>
      <c r="BP58" s="48"/>
    </row>
    <row r="59" spans="1:68" ht="18" customHeight="1" thickBot="1" x14ac:dyDescent="0.3">
      <c r="B59" s="198" t="s">
        <v>238</v>
      </c>
      <c r="C59" s="109" t="s">
        <v>51</v>
      </c>
      <c r="D59" s="109"/>
      <c r="E59" s="110"/>
      <c r="F59" s="110"/>
      <c r="G59" s="111"/>
      <c r="H59" s="112"/>
      <c r="I59" s="113"/>
      <c r="J59" s="113"/>
      <c r="K59" s="113"/>
      <c r="L59" s="113"/>
      <c r="M59" s="114"/>
      <c r="N59" s="114"/>
      <c r="O59" s="199" t="s">
        <v>187</v>
      </c>
      <c r="P59" s="79">
        <v>0</v>
      </c>
      <c r="Q59" s="115">
        <v>46167</v>
      </c>
      <c r="R59" s="115">
        <f>Q59+4</f>
        <v>46171</v>
      </c>
      <c r="S59" s="200">
        <f>IF(OR(ISBLANK(Início_da_tarefa),ISBLANK(Término_da_tarefa)),"",Término_da_tarefa-Início_da_tarefa+1)</f>
        <v>5</v>
      </c>
      <c r="T59" s="70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"/>
      <c r="AG59" s="4"/>
      <c r="AH59" s="4"/>
      <c r="AI59" s="4"/>
      <c r="AJ59" s="4"/>
      <c r="AK59" s="4"/>
      <c r="AL59" s="4"/>
      <c r="AM59" s="41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67"/>
      <c r="BP59" s="48"/>
    </row>
    <row r="60" spans="1:68" ht="18" customHeight="1" thickBot="1" x14ac:dyDescent="0.3">
      <c r="B60" s="198" t="s">
        <v>239</v>
      </c>
      <c r="C60" s="201" t="s">
        <v>194</v>
      </c>
      <c r="D60" s="201"/>
      <c r="E60" s="116"/>
      <c r="F60" s="116"/>
      <c r="G60" s="117"/>
      <c r="H60" s="202"/>
      <c r="I60" s="203"/>
      <c r="J60" s="203"/>
      <c r="K60" s="203"/>
      <c r="L60" s="203"/>
      <c r="M60" s="204"/>
      <c r="N60" s="204"/>
      <c r="O60" s="205" t="str">
        <f>O55</f>
        <v>Credenciada</v>
      </c>
      <c r="P60" s="78">
        <v>0</v>
      </c>
      <c r="Q60" s="206">
        <v>46195</v>
      </c>
      <c r="R60" s="158">
        <f>Q60+7</f>
        <v>46202</v>
      </c>
      <c r="S60" s="207">
        <f t="shared" si="0"/>
        <v>8</v>
      </c>
      <c r="T60" s="70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1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67"/>
      <c r="BP60" s="48"/>
    </row>
    <row r="61" spans="1:68" ht="18" customHeight="1" thickBot="1" x14ac:dyDescent="0.3">
      <c r="B61" s="198" t="s">
        <v>240</v>
      </c>
      <c r="C61" s="201" t="s">
        <v>184</v>
      </c>
      <c r="D61" s="208"/>
      <c r="E61" s="209"/>
      <c r="F61" s="14"/>
      <c r="G61" s="14"/>
      <c r="H61" s="199"/>
      <c r="I61" s="199"/>
      <c r="J61" s="199"/>
      <c r="K61" s="199"/>
      <c r="L61" s="199"/>
      <c r="M61" s="199"/>
      <c r="N61" s="199"/>
      <c r="O61" s="205" t="s">
        <v>155</v>
      </c>
      <c r="P61" s="78">
        <v>0</v>
      </c>
      <c r="Q61" s="158">
        <f>R60+1</f>
        <v>46203</v>
      </c>
      <c r="R61" s="206">
        <f>Q61+19</f>
        <v>46222</v>
      </c>
      <c r="S61" s="207">
        <f t="shared" si="0"/>
        <v>20</v>
      </c>
      <c r="T61" s="70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"/>
      <c r="AG61" s="4"/>
      <c r="AH61" s="4"/>
      <c r="AI61" s="4"/>
      <c r="AJ61" s="4"/>
      <c r="AK61" s="4"/>
      <c r="AL61" s="4"/>
      <c r="AM61" s="5"/>
      <c r="AN61" s="5"/>
      <c r="AO61" s="4"/>
      <c r="AP61" s="4"/>
      <c r="AQ61" s="4"/>
      <c r="AR61" s="41"/>
      <c r="AS61" s="41"/>
      <c r="AT61" s="41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67"/>
      <c r="BP61" s="48"/>
    </row>
    <row r="62" spans="1:68" ht="18" customHeight="1" thickBot="1" x14ac:dyDescent="0.3">
      <c r="B62" s="198" t="s">
        <v>241</v>
      </c>
      <c r="C62" s="208" t="s">
        <v>185</v>
      </c>
      <c r="D62" s="208"/>
      <c r="E62" s="209"/>
      <c r="F62" s="14"/>
      <c r="G62" s="14"/>
      <c r="H62" s="199"/>
      <c r="I62" s="199"/>
      <c r="J62" s="199"/>
      <c r="K62" s="199"/>
      <c r="L62" s="199"/>
      <c r="M62" s="199"/>
      <c r="N62" s="199"/>
      <c r="O62" s="199" t="s">
        <v>187</v>
      </c>
      <c r="P62" s="79">
        <v>0</v>
      </c>
      <c r="Q62" s="210">
        <f>R61+1</f>
        <v>46223</v>
      </c>
      <c r="R62" s="210">
        <f>Q62+15</f>
        <v>46238</v>
      </c>
      <c r="S62" s="211">
        <f t="shared" si="0"/>
        <v>16</v>
      </c>
      <c r="T62" s="70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"/>
      <c r="AG62" s="4"/>
      <c r="AH62" s="4"/>
      <c r="AI62" s="4"/>
      <c r="AJ62" s="4"/>
      <c r="AK62" s="4"/>
      <c r="AL62" s="4"/>
      <c r="AM62" s="5"/>
      <c r="AN62" s="5"/>
      <c r="AO62" s="4"/>
      <c r="AP62" s="4"/>
      <c r="AQ62" s="4"/>
      <c r="AR62" s="4"/>
      <c r="AS62" s="4"/>
      <c r="AT62" s="41"/>
      <c r="AU62" s="41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67"/>
      <c r="BP62" s="48"/>
    </row>
    <row r="63" spans="1:68" ht="18" customHeight="1" thickBot="1" x14ac:dyDescent="0.3">
      <c r="B63" s="198" t="s">
        <v>242</v>
      </c>
      <c r="C63" s="208" t="s">
        <v>18</v>
      </c>
      <c r="D63" s="208"/>
      <c r="E63" s="209"/>
      <c r="F63" s="14"/>
      <c r="G63" s="14"/>
      <c r="H63" s="199"/>
      <c r="I63" s="199"/>
      <c r="J63" s="199"/>
      <c r="K63" s="199"/>
      <c r="L63" s="199"/>
      <c r="M63" s="199"/>
      <c r="N63" s="199"/>
      <c r="O63" s="199" t="s">
        <v>187</v>
      </c>
      <c r="P63" s="79">
        <v>0</v>
      </c>
      <c r="Q63" s="210">
        <f>R62+1</f>
        <v>46239</v>
      </c>
      <c r="R63" s="210">
        <f>Q63+6</f>
        <v>46245</v>
      </c>
      <c r="S63" s="211">
        <f t="shared" si="0"/>
        <v>7</v>
      </c>
      <c r="T63" s="70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"/>
      <c r="AG63" s="4"/>
      <c r="AH63" s="4"/>
      <c r="AI63" s="4"/>
      <c r="AJ63" s="4"/>
      <c r="AK63" s="4"/>
      <c r="AL63" s="4"/>
      <c r="AM63" s="5"/>
      <c r="AN63" s="5"/>
      <c r="AO63" s="4"/>
      <c r="AP63" s="4"/>
      <c r="AQ63" s="4"/>
      <c r="AR63" s="4"/>
      <c r="AS63" s="4"/>
      <c r="AT63" s="4"/>
      <c r="AU63" s="4"/>
      <c r="AV63" s="41"/>
      <c r="AW63" s="41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67"/>
      <c r="BP63" s="48"/>
    </row>
    <row r="64" spans="1:68" ht="18" customHeight="1" thickBot="1" x14ac:dyDescent="0.3">
      <c r="B64" s="198" t="s">
        <v>243</v>
      </c>
      <c r="C64" s="208" t="s">
        <v>156</v>
      </c>
      <c r="D64" s="208"/>
      <c r="E64" s="209"/>
      <c r="F64" s="14"/>
      <c r="G64" s="14"/>
      <c r="H64" s="199"/>
      <c r="I64" s="199"/>
      <c r="J64" s="199"/>
      <c r="K64" s="199"/>
      <c r="L64" s="199"/>
      <c r="M64" s="199"/>
      <c r="N64" s="199"/>
      <c r="O64" s="199" t="s">
        <v>19</v>
      </c>
      <c r="P64" s="79">
        <v>0</v>
      </c>
      <c r="Q64" s="210">
        <f>R63</f>
        <v>46245</v>
      </c>
      <c r="R64" s="210">
        <f>Q64+6</f>
        <v>46251</v>
      </c>
      <c r="S64" s="211">
        <f t="shared" si="0"/>
        <v>7</v>
      </c>
      <c r="T64" s="70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"/>
      <c r="AG64" s="4"/>
      <c r="AH64" s="4"/>
      <c r="AI64" s="4"/>
      <c r="AJ64" s="4"/>
      <c r="AK64" s="4"/>
      <c r="AL64" s="4"/>
      <c r="AM64" s="5"/>
      <c r="AN64" s="5"/>
      <c r="AO64" s="4"/>
      <c r="AP64" s="4"/>
      <c r="AQ64" s="4"/>
      <c r="AR64" s="4"/>
      <c r="AS64" s="4"/>
      <c r="AT64" s="4"/>
      <c r="AU64" s="4"/>
      <c r="AV64" s="4"/>
      <c r="AW64" s="41"/>
      <c r="AX64" s="41"/>
      <c r="AY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67"/>
      <c r="BP64" s="48"/>
    </row>
    <row r="65" spans="1:68" ht="18" customHeight="1" thickBot="1" x14ac:dyDescent="0.3">
      <c r="B65" s="198" t="s">
        <v>244</v>
      </c>
      <c r="C65" s="208" t="s">
        <v>20</v>
      </c>
      <c r="D65" s="208"/>
      <c r="E65" s="209"/>
      <c r="F65" s="14"/>
      <c r="G65" s="14"/>
      <c r="H65" s="199"/>
      <c r="I65" s="199"/>
      <c r="J65" s="199"/>
      <c r="K65" s="199"/>
      <c r="L65" s="199"/>
      <c r="M65" s="199"/>
      <c r="N65" s="199"/>
      <c r="O65" s="199" t="s">
        <v>186</v>
      </c>
      <c r="P65" s="79">
        <v>0</v>
      </c>
      <c r="Q65" s="210">
        <f>R64</f>
        <v>46251</v>
      </c>
      <c r="R65" s="210">
        <f>Q65+9</f>
        <v>46260</v>
      </c>
      <c r="S65" s="211">
        <f t="shared" si="0"/>
        <v>10</v>
      </c>
      <c r="T65" s="70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"/>
      <c r="AG65" s="4"/>
      <c r="AH65" s="4"/>
      <c r="AI65" s="4"/>
      <c r="AJ65" s="4"/>
      <c r="AK65" s="4"/>
      <c r="AL65" s="4"/>
      <c r="AM65" s="5"/>
      <c r="AN65" s="5"/>
      <c r="AO65" s="4"/>
      <c r="AP65" s="4"/>
      <c r="AQ65" s="4"/>
      <c r="AR65" s="4"/>
      <c r="AS65" s="4"/>
      <c r="AT65" s="4"/>
      <c r="AU65" s="4"/>
      <c r="AV65" s="4"/>
      <c r="AW65" s="4"/>
      <c r="AX65" s="41"/>
      <c r="AY65" s="41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67"/>
      <c r="BP65" s="48"/>
    </row>
    <row r="66" spans="1:68" ht="27" customHeight="1" thickBot="1" x14ac:dyDescent="0.3">
      <c r="B66" s="198" t="s">
        <v>245</v>
      </c>
      <c r="C66" s="118" t="s">
        <v>188</v>
      </c>
      <c r="D66" s="118"/>
      <c r="E66" s="119"/>
      <c r="F66" s="119"/>
      <c r="G66" s="119"/>
      <c r="H66" s="120"/>
      <c r="I66" s="120"/>
      <c r="J66" s="120"/>
      <c r="K66" s="120"/>
      <c r="L66" s="120"/>
      <c r="M66" s="120"/>
      <c r="N66" s="120"/>
      <c r="O66" s="199" t="s">
        <v>187</v>
      </c>
      <c r="P66" s="80">
        <v>0</v>
      </c>
      <c r="Q66" s="216">
        <f>R65</f>
        <v>46260</v>
      </c>
      <c r="R66" s="216">
        <f>Q66+9</f>
        <v>46269</v>
      </c>
      <c r="S66" s="217">
        <f t="shared" si="0"/>
        <v>10</v>
      </c>
      <c r="T66" s="70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29"/>
      <c r="AG66" s="29"/>
      <c r="AH66" s="29"/>
      <c r="AI66" s="29"/>
      <c r="AJ66" s="29"/>
      <c r="AK66" s="29"/>
      <c r="AL66" s="29"/>
      <c r="AM66" s="30"/>
      <c r="AN66" s="30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42"/>
      <c r="AZ66" s="42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69"/>
      <c r="BP66" s="48"/>
    </row>
    <row r="67" spans="1:68" ht="30" customHeight="1" thickBot="1" x14ac:dyDescent="0.3">
      <c r="B67" s="90">
        <v>6</v>
      </c>
      <c r="C67" s="91" t="s">
        <v>71</v>
      </c>
      <c r="D67" s="92" t="s">
        <v>81</v>
      </c>
      <c r="E67" s="92" t="s">
        <v>58</v>
      </c>
      <c r="F67" s="93"/>
      <c r="G67" s="94" t="s">
        <v>113</v>
      </c>
      <c r="H67" s="94" t="s">
        <v>57</v>
      </c>
      <c r="I67" s="95">
        <v>450</v>
      </c>
      <c r="J67" s="95">
        <v>100</v>
      </c>
      <c r="K67" s="95" t="s">
        <v>66</v>
      </c>
      <c r="L67" s="95" t="s">
        <v>115</v>
      </c>
      <c r="M67" s="96">
        <v>46078</v>
      </c>
      <c r="N67" s="96">
        <v>46319</v>
      </c>
      <c r="O67" s="97" t="s">
        <v>155</v>
      </c>
      <c r="P67" s="121"/>
      <c r="Q67" s="122"/>
      <c r="R67" s="122"/>
      <c r="S67" s="225"/>
      <c r="T67" s="70"/>
      <c r="U67" s="44"/>
      <c r="V67" s="44"/>
      <c r="W67" s="44"/>
      <c r="X67" s="44"/>
      <c r="Y67" s="44"/>
      <c r="Z67" s="44"/>
      <c r="AA67" s="44"/>
      <c r="AB67" s="44"/>
      <c r="AC67" s="45"/>
      <c r="AD67" s="45"/>
      <c r="AE67" s="185"/>
      <c r="AF67" s="49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2"/>
      <c r="BP67" s="72"/>
    </row>
    <row r="68" spans="1:68" ht="16.5" thickBot="1" x14ac:dyDescent="0.3">
      <c r="B68" s="100" t="s">
        <v>101</v>
      </c>
      <c r="C68" s="101" t="s">
        <v>52</v>
      </c>
      <c r="D68" s="101"/>
      <c r="E68" s="102"/>
      <c r="F68" s="102"/>
      <c r="G68" s="103"/>
      <c r="H68" s="104"/>
      <c r="I68" s="105"/>
      <c r="J68" s="105"/>
      <c r="K68" s="105"/>
      <c r="L68" s="105"/>
      <c r="M68" s="106"/>
      <c r="N68" s="106"/>
      <c r="O68" s="107"/>
      <c r="P68" s="89">
        <v>0</v>
      </c>
      <c r="Q68" s="159">
        <v>46187</v>
      </c>
      <c r="R68" s="159">
        <f>R78</f>
        <v>46269</v>
      </c>
      <c r="S68" s="219">
        <f t="shared" si="0"/>
        <v>83</v>
      </c>
      <c r="T68" s="62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39"/>
      <c r="AF68" s="62"/>
      <c r="AG68" s="15"/>
      <c r="AH68" s="15"/>
      <c r="AI68" s="15"/>
      <c r="AJ68" s="15"/>
      <c r="AK68" s="15"/>
      <c r="AL68" s="15"/>
      <c r="AM68" s="15"/>
      <c r="AN68" s="15"/>
      <c r="AO68" s="15"/>
      <c r="AP68" s="235"/>
      <c r="AQ68" s="235"/>
      <c r="AR68" s="235"/>
      <c r="AS68" s="235"/>
      <c r="AT68" s="235"/>
      <c r="AU68" s="235"/>
      <c r="AV68" s="235"/>
      <c r="AW68" s="235"/>
      <c r="AX68" s="235"/>
      <c r="AY68" s="235"/>
      <c r="AZ68" s="23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63"/>
      <c r="BP68" s="73"/>
    </row>
    <row r="69" spans="1:68" ht="16.5" thickBot="1" x14ac:dyDescent="0.3">
      <c r="B69" s="198" t="s">
        <v>246</v>
      </c>
      <c r="C69" s="109" t="s">
        <v>182</v>
      </c>
      <c r="D69" s="109"/>
      <c r="E69" s="110"/>
      <c r="F69" s="110"/>
      <c r="G69" s="111"/>
      <c r="H69" s="112"/>
      <c r="I69" s="113"/>
      <c r="J69" s="113"/>
      <c r="K69" s="113"/>
      <c r="L69" s="113"/>
      <c r="M69" s="114"/>
      <c r="N69" s="114"/>
      <c r="O69" s="199" t="s">
        <v>183</v>
      </c>
      <c r="P69" s="79">
        <v>0</v>
      </c>
      <c r="Q69" s="196">
        <v>46187</v>
      </c>
      <c r="R69" s="196">
        <f>Q69+1</f>
        <v>46188</v>
      </c>
      <c r="S69" s="197">
        <f>IF(OR(ISBLANK(Início_da_tarefa),ISBLANK(Término_da_tarefa)),"",Término_da_tarefa-Início_da_tarefa+1)</f>
        <v>2</v>
      </c>
      <c r="T69" s="70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146"/>
      <c r="AL69" s="44"/>
      <c r="AM69" s="44"/>
      <c r="AN69" s="44"/>
      <c r="AO69" s="2"/>
      <c r="AP69" s="2"/>
      <c r="AQ69" s="2"/>
      <c r="AR69" s="2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71"/>
      <c r="BP69" s="48"/>
    </row>
    <row r="70" spans="1:68" ht="27" customHeight="1" thickBot="1" x14ac:dyDescent="0.3">
      <c r="B70" s="198" t="s">
        <v>247</v>
      </c>
      <c r="C70" s="109" t="s">
        <v>193</v>
      </c>
      <c r="D70" s="109"/>
      <c r="E70" s="110"/>
      <c r="F70" s="110"/>
      <c r="G70" s="111"/>
      <c r="H70" s="112"/>
      <c r="I70" s="113"/>
      <c r="J70" s="113"/>
      <c r="K70" s="113"/>
      <c r="L70" s="113"/>
      <c r="M70" s="114"/>
      <c r="N70" s="114"/>
      <c r="O70" s="199" t="s">
        <v>187</v>
      </c>
      <c r="P70" s="79">
        <v>0</v>
      </c>
      <c r="Q70" s="115">
        <v>46160</v>
      </c>
      <c r="R70" s="115">
        <f>Q70+4</f>
        <v>46164</v>
      </c>
      <c r="S70" s="200">
        <f>IF(OR(ISBLANK(Início_da_tarefa),ISBLANK(Término_da_tarefa)),"",Término_da_tarefa-Início_da_tarefa+1)</f>
        <v>5</v>
      </c>
      <c r="T70" s="70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"/>
      <c r="AG70" s="4"/>
      <c r="AH70" s="4"/>
      <c r="AI70" s="4"/>
      <c r="AJ70" s="4"/>
      <c r="AK70" s="4"/>
      <c r="AL70" s="41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67"/>
      <c r="BP70" s="48"/>
    </row>
    <row r="71" spans="1:68" ht="16.5" thickBot="1" x14ac:dyDescent="0.3">
      <c r="B71" s="198" t="s">
        <v>248</v>
      </c>
      <c r="C71" s="109" t="s">
        <v>51</v>
      </c>
      <c r="D71" s="109"/>
      <c r="E71" s="110"/>
      <c r="F71" s="110"/>
      <c r="G71" s="111"/>
      <c r="H71" s="112"/>
      <c r="I71" s="113"/>
      <c r="J71" s="113"/>
      <c r="K71" s="113"/>
      <c r="L71" s="113"/>
      <c r="M71" s="114"/>
      <c r="N71" s="114"/>
      <c r="O71" s="199" t="s">
        <v>187</v>
      </c>
      <c r="P71" s="79">
        <v>0</v>
      </c>
      <c r="Q71" s="115">
        <v>46167</v>
      </c>
      <c r="R71" s="115">
        <f>Q71+4</f>
        <v>46171</v>
      </c>
      <c r="S71" s="200">
        <f>IF(OR(ISBLANK(Início_da_tarefa),ISBLANK(Término_da_tarefa)),"",Término_da_tarefa-Início_da_tarefa+1)</f>
        <v>5</v>
      </c>
      <c r="T71" s="70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"/>
      <c r="AG71" s="4"/>
      <c r="AH71" s="4"/>
      <c r="AI71" s="4"/>
      <c r="AJ71" s="4"/>
      <c r="AK71" s="4"/>
      <c r="AL71" s="4"/>
      <c r="AM71" s="41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67"/>
      <c r="BP71" s="48"/>
    </row>
    <row r="72" spans="1:68" ht="16.5" thickBot="1" x14ac:dyDescent="0.3">
      <c r="B72" s="198" t="s">
        <v>249</v>
      </c>
      <c r="C72" s="201" t="s">
        <v>194</v>
      </c>
      <c r="D72" s="201"/>
      <c r="E72" s="116"/>
      <c r="F72" s="116"/>
      <c r="G72" s="117"/>
      <c r="H72" s="202"/>
      <c r="I72" s="203"/>
      <c r="J72" s="203"/>
      <c r="K72" s="203"/>
      <c r="L72" s="203"/>
      <c r="M72" s="204"/>
      <c r="N72" s="204"/>
      <c r="O72" s="205" t="str">
        <f>O67</f>
        <v>Credenciada</v>
      </c>
      <c r="P72" s="78">
        <v>0</v>
      </c>
      <c r="Q72" s="206">
        <v>46195</v>
      </c>
      <c r="R72" s="158">
        <f>Q72+7</f>
        <v>46202</v>
      </c>
      <c r="S72" s="207">
        <f t="shared" si="0"/>
        <v>8</v>
      </c>
      <c r="T72" s="70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1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67"/>
      <c r="BP72" s="48"/>
    </row>
    <row r="73" spans="1:68" ht="16.5" thickBot="1" x14ac:dyDescent="0.3">
      <c r="B73" s="198" t="s">
        <v>250</v>
      </c>
      <c r="C73" s="201" t="s">
        <v>184</v>
      </c>
      <c r="D73" s="208"/>
      <c r="E73" s="209"/>
      <c r="F73" s="14"/>
      <c r="G73" s="14"/>
      <c r="H73" s="199"/>
      <c r="I73" s="199"/>
      <c r="J73" s="199"/>
      <c r="K73" s="199"/>
      <c r="L73" s="199"/>
      <c r="M73" s="199"/>
      <c r="N73" s="199"/>
      <c r="O73" s="205" t="s">
        <v>155</v>
      </c>
      <c r="P73" s="78">
        <v>0</v>
      </c>
      <c r="Q73" s="158">
        <f>R72+1</f>
        <v>46203</v>
      </c>
      <c r="R73" s="206">
        <f>Q73+19</f>
        <v>46222</v>
      </c>
      <c r="S73" s="207">
        <f t="shared" si="0"/>
        <v>20</v>
      </c>
      <c r="T73" s="70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"/>
      <c r="AG73" s="4"/>
      <c r="AH73" s="4"/>
      <c r="AI73" s="4"/>
      <c r="AJ73" s="4"/>
      <c r="AK73" s="4"/>
      <c r="AL73" s="4"/>
      <c r="AM73" s="5"/>
      <c r="AN73" s="5"/>
      <c r="AO73" s="4"/>
      <c r="AP73" s="4"/>
      <c r="AQ73" s="4"/>
      <c r="AR73" s="41"/>
      <c r="AS73" s="41"/>
      <c r="AT73" s="41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67"/>
      <c r="BP73" s="48"/>
    </row>
    <row r="74" spans="1:68" ht="16.5" thickBot="1" x14ac:dyDescent="0.3">
      <c r="B74" s="198" t="s">
        <v>251</v>
      </c>
      <c r="C74" s="208" t="s">
        <v>185</v>
      </c>
      <c r="D74" s="208"/>
      <c r="E74" s="209"/>
      <c r="F74" s="14"/>
      <c r="G74" s="14"/>
      <c r="H74" s="199"/>
      <c r="I74" s="199"/>
      <c r="J74" s="199"/>
      <c r="K74" s="199"/>
      <c r="L74" s="199"/>
      <c r="M74" s="199"/>
      <c r="N74" s="199"/>
      <c r="O74" s="199" t="s">
        <v>187</v>
      </c>
      <c r="P74" s="79">
        <v>0</v>
      </c>
      <c r="Q74" s="210">
        <f>R73+1</f>
        <v>46223</v>
      </c>
      <c r="R74" s="210">
        <f>Q74+15</f>
        <v>46238</v>
      </c>
      <c r="S74" s="211">
        <f t="shared" si="0"/>
        <v>16</v>
      </c>
      <c r="T74" s="70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"/>
      <c r="AG74" s="4"/>
      <c r="AH74" s="4"/>
      <c r="AI74" s="4"/>
      <c r="AJ74" s="4"/>
      <c r="AK74" s="4"/>
      <c r="AL74" s="4"/>
      <c r="AM74" s="5"/>
      <c r="AN74" s="5"/>
      <c r="AO74" s="4"/>
      <c r="AP74" s="4"/>
      <c r="AQ74" s="4"/>
      <c r="AR74" s="4"/>
      <c r="AS74" s="4"/>
      <c r="AT74" s="41"/>
      <c r="AU74" s="41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67"/>
      <c r="BP74" s="48"/>
    </row>
    <row r="75" spans="1:68" ht="16.5" thickBot="1" x14ac:dyDescent="0.3">
      <c r="B75" s="198" t="s">
        <v>252</v>
      </c>
      <c r="C75" s="208" t="s">
        <v>18</v>
      </c>
      <c r="D75" s="208"/>
      <c r="E75" s="209"/>
      <c r="F75" s="14"/>
      <c r="G75" s="14"/>
      <c r="H75" s="199"/>
      <c r="I75" s="199"/>
      <c r="J75" s="199"/>
      <c r="K75" s="199"/>
      <c r="L75" s="199"/>
      <c r="M75" s="199"/>
      <c r="N75" s="199"/>
      <c r="O75" s="199" t="s">
        <v>187</v>
      </c>
      <c r="P75" s="79">
        <v>0</v>
      </c>
      <c r="Q75" s="210">
        <f>R74+1</f>
        <v>46239</v>
      </c>
      <c r="R75" s="210">
        <f>Q75+6</f>
        <v>46245</v>
      </c>
      <c r="S75" s="211">
        <f t="shared" si="0"/>
        <v>7</v>
      </c>
      <c r="T75" s="70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"/>
      <c r="AG75" s="4"/>
      <c r="AH75" s="4"/>
      <c r="AI75" s="4"/>
      <c r="AJ75" s="4"/>
      <c r="AK75" s="4"/>
      <c r="AL75" s="4"/>
      <c r="AM75" s="5"/>
      <c r="AN75" s="5"/>
      <c r="AO75" s="4"/>
      <c r="AP75" s="4"/>
      <c r="AQ75" s="4"/>
      <c r="AR75" s="4"/>
      <c r="AS75" s="4"/>
      <c r="AT75" s="4"/>
      <c r="AU75" s="4"/>
      <c r="AV75" s="41"/>
      <c r="AW75" s="41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67"/>
      <c r="BP75" s="48"/>
    </row>
    <row r="76" spans="1:68" ht="16.5" thickBot="1" x14ac:dyDescent="0.3">
      <c r="B76" s="198" t="s">
        <v>253</v>
      </c>
      <c r="C76" s="208" t="s">
        <v>156</v>
      </c>
      <c r="D76" s="208"/>
      <c r="E76" s="209"/>
      <c r="F76" s="14"/>
      <c r="G76" s="14"/>
      <c r="H76" s="199"/>
      <c r="I76" s="199"/>
      <c r="J76" s="199"/>
      <c r="K76" s="199"/>
      <c r="L76" s="199"/>
      <c r="M76" s="199"/>
      <c r="N76" s="199"/>
      <c r="O76" s="199" t="s">
        <v>19</v>
      </c>
      <c r="P76" s="79">
        <v>0</v>
      </c>
      <c r="Q76" s="210">
        <f>R75</f>
        <v>46245</v>
      </c>
      <c r="R76" s="210">
        <f>Q76+6</f>
        <v>46251</v>
      </c>
      <c r="S76" s="211">
        <f t="shared" si="0"/>
        <v>7</v>
      </c>
      <c r="T76" s="70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"/>
      <c r="AG76" s="4"/>
      <c r="AH76" s="4"/>
      <c r="AI76" s="4"/>
      <c r="AJ76" s="4"/>
      <c r="AK76" s="4"/>
      <c r="AL76" s="4"/>
      <c r="AM76" s="5"/>
      <c r="AN76" s="5"/>
      <c r="AO76" s="4"/>
      <c r="AP76" s="4"/>
      <c r="AQ76" s="4"/>
      <c r="AR76" s="4"/>
      <c r="AS76" s="4"/>
      <c r="AT76" s="4"/>
      <c r="AU76" s="4"/>
      <c r="AV76" s="4"/>
      <c r="AW76" s="41"/>
      <c r="AX76" s="41"/>
      <c r="AY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67"/>
      <c r="BP76" s="48"/>
    </row>
    <row r="77" spans="1:68" ht="16.5" thickBot="1" x14ac:dyDescent="0.3">
      <c r="B77" s="198" t="s">
        <v>254</v>
      </c>
      <c r="C77" s="208" t="s">
        <v>20</v>
      </c>
      <c r="D77" s="208"/>
      <c r="E77" s="209"/>
      <c r="F77" s="14"/>
      <c r="G77" s="14"/>
      <c r="H77" s="199"/>
      <c r="I77" s="199"/>
      <c r="J77" s="199"/>
      <c r="K77" s="199"/>
      <c r="L77" s="199"/>
      <c r="M77" s="199"/>
      <c r="N77" s="199"/>
      <c r="O77" s="199" t="s">
        <v>186</v>
      </c>
      <c r="P77" s="79">
        <v>0</v>
      </c>
      <c r="Q77" s="210">
        <f>R76</f>
        <v>46251</v>
      </c>
      <c r="R77" s="210">
        <f>Q77+9</f>
        <v>46260</v>
      </c>
      <c r="S77" s="211">
        <f t="shared" si="0"/>
        <v>10</v>
      </c>
      <c r="T77" s="70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"/>
      <c r="AG77" s="4"/>
      <c r="AH77" s="4"/>
      <c r="AI77" s="4"/>
      <c r="AJ77" s="4"/>
      <c r="AK77" s="4"/>
      <c r="AL77" s="4"/>
      <c r="AM77" s="5"/>
      <c r="AN77" s="5"/>
      <c r="AO77" s="4"/>
      <c r="AP77" s="4"/>
      <c r="AQ77" s="4"/>
      <c r="AR77" s="4"/>
      <c r="AS77" s="4"/>
      <c r="AT77" s="4"/>
      <c r="AU77" s="4"/>
      <c r="AV77" s="4"/>
      <c r="AW77" s="4"/>
      <c r="AX77" s="41"/>
      <c r="AY77" s="41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67"/>
      <c r="BP77" s="48"/>
    </row>
    <row r="78" spans="1:68" ht="28.5" customHeight="1" thickBot="1" x14ac:dyDescent="0.3">
      <c r="B78" s="198" t="s">
        <v>255</v>
      </c>
      <c r="C78" s="118" t="s">
        <v>188</v>
      </c>
      <c r="D78" s="118"/>
      <c r="E78" s="119"/>
      <c r="F78" s="119"/>
      <c r="G78" s="119"/>
      <c r="H78" s="120"/>
      <c r="I78" s="120"/>
      <c r="J78" s="120"/>
      <c r="K78" s="120"/>
      <c r="L78" s="120"/>
      <c r="M78" s="120"/>
      <c r="N78" s="120"/>
      <c r="O78" s="199" t="s">
        <v>187</v>
      </c>
      <c r="P78" s="80">
        <v>0</v>
      </c>
      <c r="Q78" s="216">
        <f>R77</f>
        <v>46260</v>
      </c>
      <c r="R78" s="216">
        <f>Q78+9</f>
        <v>46269</v>
      </c>
      <c r="S78" s="217">
        <f t="shared" si="0"/>
        <v>10</v>
      </c>
      <c r="T78" s="70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29"/>
      <c r="AG78" s="29"/>
      <c r="AH78" s="29"/>
      <c r="AI78" s="29"/>
      <c r="AJ78" s="29"/>
      <c r="AK78" s="29"/>
      <c r="AL78" s="29"/>
      <c r="AM78" s="30"/>
      <c r="AN78" s="30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42"/>
      <c r="AZ78" s="42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69"/>
      <c r="BP78" s="48"/>
    </row>
    <row r="79" spans="1:68" ht="30" customHeight="1" thickBot="1" x14ac:dyDescent="0.3">
      <c r="B79" s="90">
        <v>7</v>
      </c>
      <c r="C79" s="91" t="s">
        <v>76</v>
      </c>
      <c r="D79" s="92" t="s">
        <v>72</v>
      </c>
      <c r="E79" s="92" t="s">
        <v>26</v>
      </c>
      <c r="F79" s="93"/>
      <c r="G79" s="94" t="s">
        <v>92</v>
      </c>
      <c r="H79" s="94" t="s">
        <v>57</v>
      </c>
      <c r="I79" s="95">
        <v>2500</v>
      </c>
      <c r="J79" s="95">
        <v>100</v>
      </c>
      <c r="K79" s="95" t="s">
        <v>66</v>
      </c>
      <c r="L79" s="95" t="s">
        <v>115</v>
      </c>
      <c r="M79" s="96">
        <v>45901</v>
      </c>
      <c r="N79" s="96">
        <v>46334</v>
      </c>
      <c r="O79" s="97" t="s">
        <v>155</v>
      </c>
      <c r="P79" s="121"/>
      <c r="Q79" s="122"/>
      <c r="R79" s="122"/>
      <c r="S79" s="225"/>
      <c r="T79" s="60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61"/>
      <c r="BP79" s="162"/>
    </row>
    <row r="80" spans="1:68" s="2" customFormat="1" ht="21.75" customHeight="1" thickBot="1" x14ac:dyDescent="0.3">
      <c r="A80"/>
      <c r="B80" s="100" t="s">
        <v>99</v>
      </c>
      <c r="C80" s="101" t="s">
        <v>52</v>
      </c>
      <c r="D80" s="101"/>
      <c r="E80" s="102"/>
      <c r="F80" s="102"/>
      <c r="G80" s="103"/>
      <c r="H80" s="104"/>
      <c r="I80" s="105"/>
      <c r="J80" s="105"/>
      <c r="K80" s="105"/>
      <c r="L80" s="105"/>
      <c r="M80" s="106"/>
      <c r="N80" s="106"/>
      <c r="O80" s="107"/>
      <c r="P80" s="89">
        <v>0</v>
      </c>
      <c r="Q80" s="108"/>
      <c r="R80" s="108"/>
      <c r="S80" s="226" t="str">
        <f t="shared" si="0"/>
        <v/>
      </c>
      <c r="T80" s="62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63"/>
      <c r="BP80" s="163"/>
    </row>
    <row r="81" spans="1:68" ht="1.5" customHeight="1" thickBot="1" x14ac:dyDescent="0.3">
      <c r="B81" s="228"/>
      <c r="C81" s="17" t="s">
        <v>49</v>
      </c>
      <c r="D81" s="17"/>
      <c r="E81" s="27"/>
      <c r="F81" s="27"/>
      <c r="G81" s="27"/>
      <c r="H81" s="28" t="s">
        <v>21</v>
      </c>
      <c r="I81" s="28"/>
      <c r="J81" s="28"/>
      <c r="K81" s="28"/>
      <c r="L81" s="28"/>
      <c r="M81" s="28"/>
      <c r="N81" s="28"/>
      <c r="O81" s="28" t="s">
        <v>46</v>
      </c>
      <c r="P81" s="80">
        <v>0</v>
      </c>
      <c r="Q81" s="81"/>
      <c r="R81" s="81"/>
      <c r="S81" s="227" t="str">
        <f t="shared" si="0"/>
        <v/>
      </c>
      <c r="T81" s="68"/>
      <c r="U81" s="29"/>
      <c r="V81" s="29"/>
      <c r="W81" s="29"/>
      <c r="X81" s="29"/>
      <c r="Y81" s="29"/>
      <c r="Z81" s="29"/>
      <c r="AA81" s="29"/>
      <c r="AB81" s="29"/>
      <c r="AC81" s="30"/>
      <c r="AD81" s="30"/>
      <c r="AE81" s="29"/>
      <c r="AF81" s="29"/>
      <c r="AG81" s="29"/>
      <c r="AH81" s="29"/>
      <c r="AI81" s="29"/>
      <c r="AJ81" s="29"/>
      <c r="AK81" s="29"/>
      <c r="AL81" s="29"/>
      <c r="AM81" s="30"/>
      <c r="AN81" s="30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69"/>
      <c r="BP81" s="54"/>
    </row>
    <row r="82" spans="1:68" ht="30" customHeight="1" thickBot="1" x14ac:dyDescent="0.3">
      <c r="B82" s="90">
        <v>8</v>
      </c>
      <c r="C82" s="91" t="s">
        <v>76</v>
      </c>
      <c r="D82" s="92" t="s">
        <v>81</v>
      </c>
      <c r="E82" s="92" t="s">
        <v>26</v>
      </c>
      <c r="F82" s="93"/>
      <c r="G82" s="94" t="s">
        <v>63</v>
      </c>
      <c r="H82" s="94" t="s">
        <v>112</v>
      </c>
      <c r="I82" s="95">
        <v>3500</v>
      </c>
      <c r="J82" s="95">
        <v>100</v>
      </c>
      <c r="K82" s="95" t="s">
        <v>66</v>
      </c>
      <c r="L82" s="95" t="s">
        <v>115</v>
      </c>
      <c r="M82" s="96">
        <v>46092</v>
      </c>
      <c r="N82" s="96">
        <v>46361</v>
      </c>
      <c r="O82" s="97" t="s">
        <v>155</v>
      </c>
      <c r="P82" s="121"/>
      <c r="Q82" s="122"/>
      <c r="R82" s="122"/>
      <c r="S82" s="225"/>
      <c r="T82" s="70"/>
      <c r="U82" s="44"/>
      <c r="V82" s="44"/>
      <c r="W82" s="44"/>
      <c r="X82" s="44"/>
      <c r="Y82" s="44"/>
      <c r="Z82" s="44"/>
      <c r="AA82" s="44"/>
      <c r="AB82" s="44"/>
      <c r="AC82" s="45"/>
      <c r="AD82" s="45"/>
      <c r="AE82" s="44"/>
      <c r="AF82" s="44"/>
      <c r="AG82" s="44"/>
      <c r="AH82" s="44"/>
      <c r="AI82" s="44"/>
      <c r="AJ82" s="44"/>
      <c r="AK82" s="44"/>
      <c r="AL82" s="44"/>
      <c r="AM82" s="45"/>
      <c r="AN82" s="45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71"/>
      <c r="BP82" s="48"/>
    </row>
    <row r="83" spans="1:68" s="2" customFormat="1" ht="24.75" customHeight="1" thickBot="1" x14ac:dyDescent="0.3">
      <c r="A83"/>
      <c r="B83" s="100" t="s">
        <v>100</v>
      </c>
      <c r="C83" s="101" t="s">
        <v>52</v>
      </c>
      <c r="D83" s="101"/>
      <c r="E83" s="102"/>
      <c r="F83" s="102"/>
      <c r="G83" s="103"/>
      <c r="H83" s="104"/>
      <c r="I83" s="105"/>
      <c r="J83" s="105"/>
      <c r="K83" s="105"/>
      <c r="L83" s="105"/>
      <c r="M83" s="106"/>
      <c r="N83" s="106"/>
      <c r="O83" s="107"/>
      <c r="P83" s="89">
        <v>0</v>
      </c>
      <c r="Q83" s="108"/>
      <c r="R83" s="108"/>
      <c r="S83" s="226" t="str">
        <f t="shared" si="0"/>
        <v/>
      </c>
      <c r="T83" s="62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31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63"/>
      <c r="BP83" s="54"/>
    </row>
    <row r="84" spans="1:68" s="2" customFormat="1" ht="29.25" customHeight="1" thickBot="1" x14ac:dyDescent="0.3">
      <c r="A84"/>
      <c r="B84" s="90">
        <v>9</v>
      </c>
      <c r="C84" s="91" t="s">
        <v>145</v>
      </c>
      <c r="D84" s="92" t="s">
        <v>72</v>
      </c>
      <c r="E84" s="92" t="s">
        <v>25</v>
      </c>
      <c r="F84" s="93"/>
      <c r="G84" s="94" t="s">
        <v>128</v>
      </c>
      <c r="H84" s="94" t="s">
        <v>119</v>
      </c>
      <c r="I84" s="95">
        <v>1100</v>
      </c>
      <c r="J84" s="95">
        <v>100</v>
      </c>
      <c r="K84" s="95" t="s">
        <v>67</v>
      </c>
      <c r="L84" s="95" t="s">
        <v>117</v>
      </c>
      <c r="M84" s="96"/>
      <c r="N84" s="96">
        <v>46465</v>
      </c>
      <c r="O84" s="97" t="s">
        <v>155</v>
      </c>
      <c r="P84" s="121"/>
      <c r="Q84" s="122"/>
      <c r="R84" s="122"/>
      <c r="S84" s="225"/>
      <c r="T84" s="60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61"/>
      <c r="BP84" s="164" t="s">
        <v>154</v>
      </c>
    </row>
    <row r="85" spans="1:68" s="2" customFormat="1" ht="18" customHeight="1" thickBot="1" x14ac:dyDescent="0.3">
      <c r="A85"/>
      <c r="B85" s="100" t="s">
        <v>102</v>
      </c>
      <c r="C85" s="101" t="s">
        <v>52</v>
      </c>
      <c r="D85" s="101"/>
      <c r="E85" s="102"/>
      <c r="F85" s="102"/>
      <c r="G85" s="103"/>
      <c r="H85" s="104"/>
      <c r="I85" s="105"/>
      <c r="J85" s="105"/>
      <c r="K85" s="105"/>
      <c r="L85" s="105"/>
      <c r="M85" s="106"/>
      <c r="N85" s="106"/>
      <c r="O85" s="107"/>
      <c r="P85" s="89">
        <v>0</v>
      </c>
      <c r="Q85" s="108"/>
      <c r="R85" s="108"/>
      <c r="S85" s="226" t="str">
        <f t="shared" si="0"/>
        <v/>
      </c>
      <c r="T85" s="62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31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63"/>
      <c r="BP85" s="165"/>
    </row>
    <row r="86" spans="1:68" s="2" customFormat="1" ht="33.75" customHeight="1" thickBot="1" x14ac:dyDescent="0.3">
      <c r="A86"/>
      <c r="B86" s="90">
        <v>10</v>
      </c>
      <c r="C86" s="91" t="s">
        <v>149</v>
      </c>
      <c r="D86" s="92" t="s">
        <v>81</v>
      </c>
      <c r="E86" s="92" t="s">
        <v>121</v>
      </c>
      <c r="F86" s="93"/>
      <c r="G86" s="94" t="s">
        <v>127</v>
      </c>
      <c r="H86" s="94" t="s">
        <v>119</v>
      </c>
      <c r="I86" s="95">
        <v>863</v>
      </c>
      <c r="J86" s="95">
        <v>100</v>
      </c>
      <c r="K86" s="95" t="s">
        <v>120</v>
      </c>
      <c r="L86" s="95" t="s">
        <v>115</v>
      </c>
      <c r="M86" s="96">
        <v>46072</v>
      </c>
      <c r="N86" s="96">
        <v>46410</v>
      </c>
      <c r="O86" s="97" t="s">
        <v>155</v>
      </c>
      <c r="P86" s="121"/>
      <c r="Q86" s="122"/>
      <c r="R86" s="122"/>
      <c r="S86" s="225"/>
      <c r="T86" s="60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61"/>
      <c r="BP86" s="164"/>
    </row>
    <row r="87" spans="1:68" s="2" customFormat="1" ht="18" customHeight="1" thickBot="1" x14ac:dyDescent="0.3">
      <c r="A87"/>
      <c r="B87" s="100" t="s">
        <v>103</v>
      </c>
      <c r="C87" s="101" t="s">
        <v>52</v>
      </c>
      <c r="D87" s="101"/>
      <c r="E87" s="102"/>
      <c r="F87" s="102"/>
      <c r="G87" s="103"/>
      <c r="H87" s="104"/>
      <c r="I87" s="105"/>
      <c r="J87" s="105"/>
      <c r="K87" s="105"/>
      <c r="L87" s="105"/>
      <c r="M87" s="106"/>
      <c r="N87" s="106"/>
      <c r="O87" s="107"/>
      <c r="P87" s="89">
        <v>0</v>
      </c>
      <c r="Q87" s="108"/>
      <c r="R87" s="108"/>
      <c r="S87" s="226" t="str">
        <f t="shared" si="0"/>
        <v/>
      </c>
      <c r="T87" s="62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31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63"/>
      <c r="BP87" s="165"/>
    </row>
    <row r="88" spans="1:68" s="2" customFormat="1" ht="29.25" customHeight="1" thickBot="1" x14ac:dyDescent="0.3">
      <c r="A88"/>
      <c r="B88" s="90">
        <v>11</v>
      </c>
      <c r="C88" s="91" t="s">
        <v>143</v>
      </c>
      <c r="D88" s="92" t="s">
        <v>77</v>
      </c>
      <c r="E88" s="92" t="s">
        <v>122</v>
      </c>
      <c r="F88" s="93"/>
      <c r="G88" s="94" t="s">
        <v>129</v>
      </c>
      <c r="H88" s="94" t="s">
        <v>29</v>
      </c>
      <c r="I88" s="95">
        <v>120</v>
      </c>
      <c r="J88" s="95">
        <v>96.67</v>
      </c>
      <c r="K88" s="95" t="s">
        <v>120</v>
      </c>
      <c r="L88" s="95" t="s">
        <v>115</v>
      </c>
      <c r="M88" s="96"/>
      <c r="N88" s="96">
        <v>46280</v>
      </c>
      <c r="O88" s="97" t="s">
        <v>155</v>
      </c>
      <c r="P88" s="121"/>
      <c r="Q88" s="122"/>
      <c r="R88" s="122"/>
      <c r="S88" s="225"/>
      <c r="T88" s="60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61"/>
      <c r="BP88" s="164"/>
    </row>
    <row r="89" spans="1:68" s="2" customFormat="1" ht="16.5" customHeight="1" thickBot="1" x14ac:dyDescent="0.3">
      <c r="A89"/>
      <c r="B89" s="100" t="s">
        <v>104</v>
      </c>
      <c r="C89" s="101" t="s">
        <v>52</v>
      </c>
      <c r="D89" s="101"/>
      <c r="E89" s="102"/>
      <c r="F89" s="102"/>
      <c r="G89" s="103"/>
      <c r="H89" s="104"/>
      <c r="I89" s="105"/>
      <c r="J89" s="105"/>
      <c r="K89" s="105"/>
      <c r="L89" s="105"/>
      <c r="M89" s="106"/>
      <c r="N89" s="106"/>
      <c r="O89" s="107"/>
      <c r="P89" s="89">
        <v>0</v>
      </c>
      <c r="Q89" s="108"/>
      <c r="R89" s="108"/>
      <c r="S89" s="226" t="str">
        <f t="shared" si="0"/>
        <v/>
      </c>
      <c r="T89" s="62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31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63"/>
      <c r="BP89" s="165"/>
    </row>
    <row r="90" spans="1:68" s="2" customFormat="1" ht="27.75" customHeight="1" thickBot="1" x14ac:dyDescent="0.3">
      <c r="A90"/>
      <c r="B90" s="90">
        <v>12</v>
      </c>
      <c r="C90" s="91" t="s">
        <v>76</v>
      </c>
      <c r="D90" s="92" t="s">
        <v>82</v>
      </c>
      <c r="E90" s="92" t="s">
        <v>26</v>
      </c>
      <c r="F90" s="93"/>
      <c r="G90" s="94" t="s">
        <v>54</v>
      </c>
      <c r="H90" s="94" t="s">
        <v>29</v>
      </c>
      <c r="I90" s="95">
        <v>2693</v>
      </c>
      <c r="J90" s="95">
        <v>97.92</v>
      </c>
      <c r="K90" s="95" t="s">
        <v>67</v>
      </c>
      <c r="L90" s="95" t="s">
        <v>117</v>
      </c>
      <c r="M90" s="96"/>
      <c r="N90" s="96">
        <v>46295</v>
      </c>
      <c r="O90" s="97" t="s">
        <v>155</v>
      </c>
      <c r="P90" s="121"/>
      <c r="Q90" s="122"/>
      <c r="R90" s="122"/>
      <c r="S90" s="225"/>
      <c r="T90" s="70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185"/>
      <c r="AF90" s="49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2"/>
      <c r="BP90" s="152"/>
    </row>
    <row r="91" spans="1:68" s="2" customFormat="1" ht="16.5" thickBot="1" x14ac:dyDescent="0.3">
      <c r="A91"/>
      <c r="B91" s="100" t="s">
        <v>105</v>
      </c>
      <c r="C91" s="101" t="s">
        <v>52</v>
      </c>
      <c r="D91" s="101"/>
      <c r="E91" s="102"/>
      <c r="F91" s="102"/>
      <c r="G91" s="103"/>
      <c r="H91" s="104"/>
      <c r="I91" s="105"/>
      <c r="J91" s="105"/>
      <c r="K91" s="105"/>
      <c r="L91" s="105"/>
      <c r="M91" s="106"/>
      <c r="N91" s="106"/>
      <c r="O91" s="107"/>
      <c r="P91" s="89">
        <v>0</v>
      </c>
      <c r="Q91" s="108"/>
      <c r="R91" s="108"/>
      <c r="S91" s="226" t="str">
        <f t="shared" si="0"/>
        <v/>
      </c>
      <c r="T91" s="70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185"/>
      <c r="AF91" s="232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233"/>
      <c r="BD91" s="233"/>
      <c r="BE91" s="233"/>
      <c r="BF91" s="233"/>
      <c r="BG91" s="233"/>
      <c r="BH91" s="233"/>
      <c r="BI91" s="233"/>
      <c r="BJ91" s="233"/>
      <c r="BK91" s="233"/>
      <c r="BL91" s="233"/>
      <c r="BM91" s="233"/>
      <c r="BN91" s="233"/>
      <c r="BO91" s="234"/>
      <c r="BP91" s="153"/>
    </row>
    <row r="92" spans="1:68" s="2" customFormat="1" ht="27" customHeight="1" thickBot="1" x14ac:dyDescent="0.3">
      <c r="A92"/>
      <c r="B92" s="90">
        <v>13</v>
      </c>
      <c r="C92" s="91" t="s">
        <v>70</v>
      </c>
      <c r="D92" s="92" t="s">
        <v>73</v>
      </c>
      <c r="E92" s="92" t="s">
        <v>27</v>
      </c>
      <c r="F92" s="93"/>
      <c r="G92" s="94" t="s">
        <v>56</v>
      </c>
      <c r="H92" s="94" t="s">
        <v>57</v>
      </c>
      <c r="I92" s="95">
        <v>29914</v>
      </c>
      <c r="J92" s="95">
        <v>80.67</v>
      </c>
      <c r="K92" s="95" t="s">
        <v>67</v>
      </c>
      <c r="L92" s="95" t="s">
        <v>117</v>
      </c>
      <c r="M92" s="96"/>
      <c r="N92" s="96">
        <v>46306</v>
      </c>
      <c r="O92" s="97" t="s">
        <v>155</v>
      </c>
      <c r="P92" s="121"/>
      <c r="Q92" s="122"/>
      <c r="R92" s="122"/>
      <c r="S92" s="225"/>
      <c r="T92" s="70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185"/>
      <c r="AF92" s="49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2"/>
      <c r="BP92" s="152"/>
    </row>
    <row r="93" spans="1:68" s="2" customFormat="1" ht="16.5" customHeight="1" thickBot="1" x14ac:dyDescent="0.3">
      <c r="A93"/>
      <c r="B93" s="100" t="s">
        <v>106</v>
      </c>
      <c r="C93" s="101" t="s">
        <v>52</v>
      </c>
      <c r="D93" s="101"/>
      <c r="E93" s="102"/>
      <c r="F93" s="102"/>
      <c r="G93" s="103"/>
      <c r="H93" s="104"/>
      <c r="I93" s="105"/>
      <c r="J93" s="105"/>
      <c r="K93" s="105"/>
      <c r="L93" s="105"/>
      <c r="M93" s="106"/>
      <c r="N93" s="106"/>
      <c r="O93" s="107"/>
      <c r="P93" s="89">
        <v>0</v>
      </c>
      <c r="Q93" s="108"/>
      <c r="R93" s="108"/>
      <c r="S93" s="226" t="str">
        <f t="shared" si="0"/>
        <v/>
      </c>
      <c r="T93" s="70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185"/>
      <c r="AF93" s="232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  <c r="BC93" s="233"/>
      <c r="BD93" s="233"/>
      <c r="BE93" s="233"/>
      <c r="BF93" s="233"/>
      <c r="BG93" s="233"/>
      <c r="BH93" s="233"/>
      <c r="BI93" s="233"/>
      <c r="BJ93" s="233"/>
      <c r="BK93" s="233"/>
      <c r="BL93" s="233"/>
      <c r="BM93" s="233"/>
      <c r="BN93" s="233"/>
      <c r="BO93" s="234"/>
      <c r="BP93" s="153"/>
    </row>
    <row r="94" spans="1:68" s="2" customFormat="1" ht="30.75" customHeight="1" thickBot="1" x14ac:dyDescent="0.3">
      <c r="A94"/>
      <c r="B94" s="90">
        <v>14</v>
      </c>
      <c r="C94" s="91" t="s">
        <v>147</v>
      </c>
      <c r="D94" s="92" t="s">
        <v>157</v>
      </c>
      <c r="E94" s="92" t="s">
        <v>125</v>
      </c>
      <c r="F94" s="93"/>
      <c r="G94" s="94" t="s">
        <v>158</v>
      </c>
      <c r="H94" s="94" t="s">
        <v>119</v>
      </c>
      <c r="I94" s="95">
        <v>1959</v>
      </c>
      <c r="J94" s="95">
        <v>81.209999999999994</v>
      </c>
      <c r="K94" s="95" t="s">
        <v>67</v>
      </c>
      <c r="L94" s="95" t="s">
        <v>115</v>
      </c>
      <c r="M94" s="96"/>
      <c r="N94" s="96">
        <v>46733</v>
      </c>
      <c r="O94" s="97" t="s">
        <v>155</v>
      </c>
      <c r="P94" s="121"/>
      <c r="Q94" s="122"/>
      <c r="R94" s="122"/>
      <c r="S94" s="225"/>
      <c r="T94" s="70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6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71"/>
      <c r="BP94" s="154"/>
    </row>
    <row r="95" spans="1:68" s="2" customFormat="1" ht="16.5" customHeight="1" thickBot="1" x14ac:dyDescent="0.3">
      <c r="A95"/>
      <c r="B95" s="100" t="s">
        <v>107</v>
      </c>
      <c r="C95" s="101" t="s">
        <v>52</v>
      </c>
      <c r="D95" s="101"/>
      <c r="E95" s="102"/>
      <c r="F95" s="102"/>
      <c r="G95" s="103"/>
      <c r="H95" s="104"/>
      <c r="I95" s="105"/>
      <c r="J95" s="105"/>
      <c r="K95" s="105"/>
      <c r="L95" s="105"/>
      <c r="M95" s="106"/>
      <c r="N95" s="106"/>
      <c r="O95" s="107"/>
      <c r="P95" s="89">
        <v>0</v>
      </c>
      <c r="Q95" s="108"/>
      <c r="R95" s="108"/>
      <c r="S95" s="226" t="str">
        <f t="shared" si="0"/>
        <v/>
      </c>
      <c r="T95" s="70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6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71"/>
      <c r="BP95" s="154"/>
    </row>
    <row r="96" spans="1:68" s="2" customFormat="1" ht="32.25" customHeight="1" thickBot="1" x14ac:dyDescent="0.3">
      <c r="A96"/>
      <c r="B96" s="86">
        <v>15</v>
      </c>
      <c r="C96" s="38" t="s">
        <v>149</v>
      </c>
      <c r="D96" s="33" t="s">
        <v>74</v>
      </c>
      <c r="E96" s="33" t="s">
        <v>121</v>
      </c>
      <c r="F96" s="32"/>
      <c r="G96" s="34" t="s">
        <v>130</v>
      </c>
      <c r="H96" s="34" t="s">
        <v>119</v>
      </c>
      <c r="I96" s="35">
        <v>5779</v>
      </c>
      <c r="J96" s="35">
        <v>71</v>
      </c>
      <c r="K96" s="35" t="s">
        <v>67</v>
      </c>
      <c r="L96" s="35" t="s">
        <v>117</v>
      </c>
      <c r="M96" s="36"/>
      <c r="N96" s="36">
        <v>46477</v>
      </c>
      <c r="O96" s="37" t="s">
        <v>155</v>
      </c>
      <c r="P96" s="82"/>
      <c r="Q96" s="83"/>
      <c r="R96" s="83"/>
      <c r="S96" s="229"/>
      <c r="T96" s="60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61"/>
      <c r="BP96" s="164" t="s">
        <v>153</v>
      </c>
    </row>
    <row r="97" spans="1:68" s="2" customFormat="1" ht="18.75" customHeight="1" thickBot="1" x14ac:dyDescent="0.3">
      <c r="A97"/>
      <c r="B97" s="85" t="s">
        <v>108</v>
      </c>
      <c r="C97" s="20" t="s">
        <v>52</v>
      </c>
      <c r="D97" s="20"/>
      <c r="E97" s="21"/>
      <c r="F97" s="21"/>
      <c r="G97" s="22"/>
      <c r="H97" s="23"/>
      <c r="I97" s="24"/>
      <c r="J97" s="24"/>
      <c r="K97" s="24"/>
      <c r="L97" s="24"/>
      <c r="M97" s="25"/>
      <c r="N97" s="25"/>
      <c r="O97" s="26"/>
      <c r="P97" s="76">
        <v>0</v>
      </c>
      <c r="Q97" s="77"/>
      <c r="R97" s="77"/>
      <c r="S97" s="217"/>
      <c r="T97" s="62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31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63"/>
      <c r="BP97" s="165"/>
    </row>
    <row r="98" spans="1:68" s="2" customFormat="1" ht="27.75" customHeight="1" thickBot="1" x14ac:dyDescent="0.3">
      <c r="A98"/>
      <c r="B98" s="86">
        <v>16</v>
      </c>
      <c r="C98" s="38" t="s">
        <v>70</v>
      </c>
      <c r="D98" s="33" t="s">
        <v>74</v>
      </c>
      <c r="E98" s="33" t="s">
        <v>27</v>
      </c>
      <c r="F98" s="32"/>
      <c r="G98" s="34" t="s">
        <v>55</v>
      </c>
      <c r="H98" s="34" t="s">
        <v>29</v>
      </c>
      <c r="I98" s="35">
        <v>45562</v>
      </c>
      <c r="J98" s="35">
        <v>63.83</v>
      </c>
      <c r="K98" s="35" t="s">
        <v>67</v>
      </c>
      <c r="L98" s="35" t="s">
        <v>115</v>
      </c>
      <c r="M98" s="36"/>
      <c r="N98" s="36">
        <v>46477</v>
      </c>
      <c r="O98" s="37" t="s">
        <v>155</v>
      </c>
      <c r="P98" s="82"/>
      <c r="Q98" s="83"/>
      <c r="R98" s="83"/>
      <c r="S98" s="229"/>
      <c r="T98" s="49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74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2"/>
      <c r="BP98" s="53"/>
    </row>
    <row r="99" spans="1:68" s="2" customFormat="1" ht="22.5" customHeight="1" thickBot="1" x14ac:dyDescent="0.3">
      <c r="A99"/>
      <c r="B99" s="85" t="s">
        <v>109</v>
      </c>
      <c r="C99" s="20" t="s">
        <v>52</v>
      </c>
      <c r="D99" s="20"/>
      <c r="E99" s="21"/>
      <c r="F99" s="21"/>
      <c r="G99" s="22"/>
      <c r="H99" s="23"/>
      <c r="I99" s="24"/>
      <c r="J99" s="24"/>
      <c r="K99" s="24"/>
      <c r="L99" s="24"/>
      <c r="M99" s="25"/>
      <c r="N99" s="25"/>
      <c r="O99" s="26"/>
      <c r="P99" s="76">
        <v>0</v>
      </c>
      <c r="Q99" s="77"/>
      <c r="R99" s="77"/>
      <c r="S99" s="217"/>
      <c r="T99" s="62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31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63"/>
      <c r="BP99" s="54"/>
    </row>
    <row r="100" spans="1:68" s="2" customFormat="1" ht="30" customHeight="1" thickBot="1" x14ac:dyDescent="0.3">
      <c r="A100"/>
      <c r="B100" s="86">
        <v>17</v>
      </c>
      <c r="C100" s="38" t="s">
        <v>146</v>
      </c>
      <c r="D100" s="33" t="s">
        <v>72</v>
      </c>
      <c r="E100" s="33" t="s">
        <v>126</v>
      </c>
      <c r="F100" s="32"/>
      <c r="G100" s="34" t="s">
        <v>161</v>
      </c>
      <c r="H100" s="34" t="s">
        <v>119</v>
      </c>
      <c r="I100" s="35">
        <v>5036</v>
      </c>
      <c r="J100" s="35">
        <v>64.87</v>
      </c>
      <c r="K100" s="35" t="s">
        <v>67</v>
      </c>
      <c r="L100" s="35" t="s">
        <v>115</v>
      </c>
      <c r="M100" s="36"/>
      <c r="N100" s="36">
        <v>46843</v>
      </c>
      <c r="O100" s="37" t="s">
        <v>155</v>
      </c>
      <c r="P100" s="82"/>
      <c r="Q100" s="83"/>
      <c r="R100" s="83"/>
      <c r="S100" s="229"/>
      <c r="T100" s="70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185"/>
      <c r="AF100" s="49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2"/>
      <c r="BP100" s="53"/>
    </row>
    <row r="101" spans="1:68" s="2" customFormat="1" ht="22.5" customHeight="1" thickBot="1" x14ac:dyDescent="0.3">
      <c r="A101"/>
      <c r="B101" s="85" t="s">
        <v>110</v>
      </c>
      <c r="C101" s="20" t="s">
        <v>52</v>
      </c>
      <c r="D101" s="20"/>
      <c r="E101" s="21"/>
      <c r="F101" s="21"/>
      <c r="G101" s="22"/>
      <c r="H101" s="23"/>
      <c r="I101" s="24"/>
      <c r="J101" s="24"/>
      <c r="K101" s="24"/>
      <c r="L101" s="24"/>
      <c r="M101" s="25"/>
      <c r="N101" s="25"/>
      <c r="O101" s="26"/>
      <c r="P101" s="76">
        <v>0</v>
      </c>
      <c r="Q101" s="77"/>
      <c r="R101" s="77"/>
      <c r="S101" s="217"/>
      <c r="T101" s="70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185"/>
      <c r="AF101" s="232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233"/>
      <c r="BC101" s="233"/>
      <c r="BD101" s="233"/>
      <c r="BE101" s="233"/>
      <c r="BF101" s="233"/>
      <c r="BG101" s="233"/>
      <c r="BH101" s="233"/>
      <c r="BI101" s="233"/>
      <c r="BJ101" s="233"/>
      <c r="BK101" s="233"/>
      <c r="BL101" s="233"/>
      <c r="BM101" s="233"/>
      <c r="BN101" s="233"/>
      <c r="BO101" s="234"/>
      <c r="BP101" s="54"/>
    </row>
    <row r="102" spans="1:68" s="2" customFormat="1" ht="30.75" customHeight="1" thickBot="1" x14ac:dyDescent="0.3">
      <c r="A102"/>
      <c r="B102" s="86">
        <v>18</v>
      </c>
      <c r="C102" s="38" t="s">
        <v>146</v>
      </c>
      <c r="D102" s="33" t="s">
        <v>72</v>
      </c>
      <c r="E102" s="33" t="s">
        <v>126</v>
      </c>
      <c r="F102" s="32"/>
      <c r="G102" s="34" t="s">
        <v>131</v>
      </c>
      <c r="H102" s="34" t="s">
        <v>29</v>
      </c>
      <c r="I102" s="35">
        <v>3651</v>
      </c>
      <c r="J102" s="35">
        <v>52.59</v>
      </c>
      <c r="K102" s="35" t="s">
        <v>67</v>
      </c>
      <c r="L102" s="35" t="s">
        <v>117</v>
      </c>
      <c r="M102" s="36"/>
      <c r="N102" s="36">
        <v>46477</v>
      </c>
      <c r="O102" s="37" t="s">
        <v>155</v>
      </c>
      <c r="P102" s="82"/>
      <c r="Q102" s="83"/>
      <c r="R102" s="83"/>
      <c r="S102" s="229"/>
      <c r="T102" s="70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6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71"/>
      <c r="BP102" s="48"/>
    </row>
    <row r="103" spans="1:68" s="2" customFormat="1" ht="22.5" customHeight="1" thickBot="1" x14ac:dyDescent="0.3">
      <c r="A103"/>
      <c r="B103" s="85" t="s">
        <v>111</v>
      </c>
      <c r="C103" s="20" t="s">
        <v>52</v>
      </c>
      <c r="D103" s="20"/>
      <c r="E103" s="21"/>
      <c r="F103" s="21"/>
      <c r="G103" s="22"/>
      <c r="H103" s="23"/>
      <c r="I103" s="24"/>
      <c r="J103" s="24"/>
      <c r="K103" s="24"/>
      <c r="L103" s="24"/>
      <c r="M103" s="25"/>
      <c r="N103" s="25"/>
      <c r="O103" s="26"/>
      <c r="P103" s="76">
        <v>0</v>
      </c>
      <c r="Q103" s="77"/>
      <c r="R103" s="77"/>
      <c r="S103" s="217"/>
      <c r="T103" s="70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6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71"/>
      <c r="BP103" s="48"/>
    </row>
    <row r="104" spans="1:68" ht="30" customHeight="1" thickBot="1" x14ac:dyDescent="0.3">
      <c r="B104" s="86">
        <v>19</v>
      </c>
      <c r="C104" s="38" t="s">
        <v>76</v>
      </c>
      <c r="D104" s="33" t="s">
        <v>123</v>
      </c>
      <c r="E104" s="33" t="s">
        <v>26</v>
      </c>
      <c r="F104" s="32"/>
      <c r="G104" s="34" t="s">
        <v>133</v>
      </c>
      <c r="H104" s="34" t="s">
        <v>29</v>
      </c>
      <c r="I104" s="35">
        <v>1050</v>
      </c>
      <c r="J104" s="35">
        <v>43.9</v>
      </c>
      <c r="K104" s="35" t="s">
        <v>67</v>
      </c>
      <c r="L104" s="35" t="s">
        <v>115</v>
      </c>
      <c r="M104" s="36"/>
      <c r="N104" s="36">
        <v>46477</v>
      </c>
      <c r="O104" s="37" t="s">
        <v>155</v>
      </c>
      <c r="P104" s="82"/>
      <c r="Q104" s="83"/>
      <c r="R104" s="83"/>
      <c r="S104" s="229"/>
      <c r="T104" s="60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61"/>
      <c r="BP104" s="162"/>
    </row>
    <row r="105" spans="1:68" s="2" customFormat="1" ht="22.5" customHeight="1" thickBot="1" x14ac:dyDescent="0.3">
      <c r="A105"/>
      <c r="B105" s="85" t="s">
        <v>160</v>
      </c>
      <c r="C105" s="20" t="s">
        <v>52</v>
      </c>
      <c r="D105" s="20"/>
      <c r="E105" s="21"/>
      <c r="F105" s="21"/>
      <c r="G105" s="22"/>
      <c r="H105" s="23"/>
      <c r="I105" s="24"/>
      <c r="J105" s="24"/>
      <c r="K105" s="24"/>
      <c r="L105" s="24"/>
      <c r="M105" s="25"/>
      <c r="N105" s="25"/>
      <c r="O105" s="26"/>
      <c r="P105" s="76">
        <v>0</v>
      </c>
      <c r="Q105" s="77"/>
      <c r="R105" s="77"/>
      <c r="S105" s="217"/>
      <c r="T105" s="62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31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39"/>
      <c r="AS105" s="39"/>
      <c r="AT105" s="39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63"/>
      <c r="BP105" s="163"/>
    </row>
    <row r="106" spans="1:68" s="2" customFormat="1" ht="30.75" customHeight="1" thickBot="1" x14ac:dyDescent="0.3">
      <c r="A106"/>
      <c r="B106" s="86">
        <v>20</v>
      </c>
      <c r="C106" s="38" t="s">
        <v>70</v>
      </c>
      <c r="D106" s="33" t="s">
        <v>83</v>
      </c>
      <c r="E106" s="33" t="s">
        <v>27</v>
      </c>
      <c r="F106" s="32"/>
      <c r="G106" s="34" t="s">
        <v>94</v>
      </c>
      <c r="H106" s="34" t="s">
        <v>57</v>
      </c>
      <c r="I106" s="35">
        <v>40150</v>
      </c>
      <c r="J106" s="35">
        <v>24.53</v>
      </c>
      <c r="K106" s="35" t="s">
        <v>67</v>
      </c>
      <c r="L106" s="35" t="s">
        <v>115</v>
      </c>
      <c r="M106" s="36"/>
      <c r="N106" s="36">
        <v>47208</v>
      </c>
      <c r="O106" s="37" t="s">
        <v>155</v>
      </c>
      <c r="P106" s="82"/>
      <c r="Q106" s="83"/>
      <c r="R106" s="83"/>
      <c r="S106" s="229"/>
      <c r="T106" s="70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185"/>
      <c r="AF106" s="49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2"/>
      <c r="BP106" s="150"/>
    </row>
    <row r="107" spans="1:68" s="2" customFormat="1" ht="18.75" customHeight="1" thickBot="1" x14ac:dyDescent="0.3">
      <c r="A107"/>
      <c r="B107" s="85" t="s">
        <v>141</v>
      </c>
      <c r="C107" s="20" t="s">
        <v>52</v>
      </c>
      <c r="D107" s="20"/>
      <c r="E107" s="21"/>
      <c r="F107" s="21"/>
      <c r="G107" s="22"/>
      <c r="H107" s="23"/>
      <c r="I107" s="24"/>
      <c r="J107" s="24"/>
      <c r="K107" s="24"/>
      <c r="L107" s="24"/>
      <c r="M107" s="25"/>
      <c r="N107" s="25"/>
      <c r="O107" s="26"/>
      <c r="P107" s="76">
        <v>0</v>
      </c>
      <c r="Q107" s="77"/>
      <c r="R107" s="77"/>
      <c r="S107" s="217"/>
      <c r="T107" s="70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185"/>
      <c r="AF107" s="232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  <c r="BK107" s="233"/>
      <c r="BL107" s="233"/>
      <c r="BM107" s="233"/>
      <c r="BN107" s="233"/>
      <c r="BO107" s="234"/>
      <c r="BP107" s="151"/>
    </row>
    <row r="108" spans="1:68" s="2" customFormat="1" ht="29.25" customHeight="1" thickBot="1" x14ac:dyDescent="0.3">
      <c r="A108"/>
      <c r="B108" s="86">
        <v>21</v>
      </c>
      <c r="C108" s="38" t="s">
        <v>79</v>
      </c>
      <c r="D108" s="33" t="s">
        <v>84</v>
      </c>
      <c r="E108" s="33" t="s">
        <v>47</v>
      </c>
      <c r="F108" s="32"/>
      <c r="G108" s="34" t="s">
        <v>93</v>
      </c>
      <c r="H108" s="34" t="s">
        <v>29</v>
      </c>
      <c r="I108" s="35">
        <v>29562</v>
      </c>
      <c r="J108" s="35">
        <v>16.68</v>
      </c>
      <c r="K108" s="35" t="s">
        <v>118</v>
      </c>
      <c r="L108" s="35" t="s">
        <v>115</v>
      </c>
      <c r="M108" s="36"/>
      <c r="N108" s="36">
        <v>46477</v>
      </c>
      <c r="O108" s="37" t="s">
        <v>155</v>
      </c>
      <c r="P108" s="82"/>
      <c r="Q108" s="83"/>
      <c r="R108" s="83"/>
      <c r="S108" s="229"/>
      <c r="T108" s="70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6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71"/>
      <c r="BP108" s="155"/>
    </row>
    <row r="109" spans="1:68" s="2" customFormat="1" ht="18.75" customHeight="1" thickBot="1" x14ac:dyDescent="0.3">
      <c r="A109"/>
      <c r="B109" s="85" t="s">
        <v>140</v>
      </c>
      <c r="C109" s="20" t="s">
        <v>52</v>
      </c>
      <c r="D109" s="20"/>
      <c r="E109" s="21"/>
      <c r="F109" s="21"/>
      <c r="G109" s="22"/>
      <c r="H109" s="23"/>
      <c r="I109" s="24"/>
      <c r="J109" s="24"/>
      <c r="K109" s="24"/>
      <c r="L109" s="24"/>
      <c r="M109" s="25"/>
      <c r="N109" s="25"/>
      <c r="O109" s="26"/>
      <c r="P109" s="76">
        <v>0</v>
      </c>
      <c r="Q109" s="77"/>
      <c r="R109" s="77"/>
      <c r="S109" s="217"/>
      <c r="T109" s="70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6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71"/>
      <c r="BP109" s="155"/>
    </row>
    <row r="110" spans="1:68" s="2" customFormat="1" ht="27.75" customHeight="1" thickBot="1" x14ac:dyDescent="0.3">
      <c r="A110"/>
      <c r="B110" s="86">
        <v>22</v>
      </c>
      <c r="C110" s="38" t="s">
        <v>147</v>
      </c>
      <c r="D110" s="33" t="s">
        <v>124</v>
      </c>
      <c r="E110" s="33" t="s">
        <v>125</v>
      </c>
      <c r="F110" s="32"/>
      <c r="G110" s="34" t="s">
        <v>132</v>
      </c>
      <c r="H110" s="34" t="s">
        <v>29</v>
      </c>
      <c r="I110" s="35">
        <v>19047</v>
      </c>
      <c r="J110" s="35">
        <v>4.72</v>
      </c>
      <c r="K110" s="35" t="s">
        <v>67</v>
      </c>
      <c r="L110" s="35" t="s">
        <v>115</v>
      </c>
      <c r="M110" s="36"/>
      <c r="N110" s="36">
        <v>46477</v>
      </c>
      <c r="O110" s="37" t="s">
        <v>155</v>
      </c>
      <c r="P110" s="82"/>
      <c r="Q110" s="83"/>
      <c r="R110" s="83"/>
      <c r="S110" s="229"/>
      <c r="T110" s="60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61"/>
      <c r="BP110" s="162"/>
    </row>
    <row r="111" spans="1:68" s="2" customFormat="1" ht="19.5" customHeight="1" thickBot="1" x14ac:dyDescent="0.3">
      <c r="A111"/>
      <c r="B111" s="85" t="s">
        <v>139</v>
      </c>
      <c r="C111" s="20" t="s">
        <v>52</v>
      </c>
      <c r="D111" s="20"/>
      <c r="E111" s="21"/>
      <c r="F111" s="21"/>
      <c r="G111" s="22"/>
      <c r="H111" s="23"/>
      <c r="I111" s="24"/>
      <c r="J111" s="24"/>
      <c r="K111" s="24"/>
      <c r="L111" s="24"/>
      <c r="M111" s="25"/>
      <c r="N111" s="25"/>
      <c r="O111" s="26"/>
      <c r="P111" s="76">
        <v>0</v>
      </c>
      <c r="Q111" s="77"/>
      <c r="R111" s="77"/>
      <c r="S111" s="217"/>
      <c r="T111" s="62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31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63"/>
      <c r="BP111" s="163"/>
    </row>
    <row r="112" spans="1:68" s="88" customFormat="1" ht="19.5" customHeight="1" thickBot="1" x14ac:dyDescent="0.3">
      <c r="A112"/>
      <c r="B112" s="86">
        <v>23</v>
      </c>
      <c r="C112" s="38" t="s">
        <v>144</v>
      </c>
      <c r="D112" s="33" t="s">
        <v>81</v>
      </c>
      <c r="E112" s="33" t="s">
        <v>62</v>
      </c>
      <c r="F112" s="32"/>
      <c r="G112" s="34" t="s">
        <v>142</v>
      </c>
      <c r="H112" s="34" t="s">
        <v>29</v>
      </c>
      <c r="I112" s="35">
        <v>92</v>
      </c>
      <c r="J112" s="35">
        <v>0</v>
      </c>
      <c r="K112" s="35" t="s">
        <v>67</v>
      </c>
      <c r="L112" s="35" t="s">
        <v>115</v>
      </c>
      <c r="M112" s="36"/>
      <c r="N112" s="36">
        <v>46368</v>
      </c>
      <c r="O112" s="37" t="s">
        <v>155</v>
      </c>
      <c r="P112" s="82"/>
      <c r="Q112" s="83"/>
      <c r="R112" s="83"/>
      <c r="S112" s="229"/>
      <c r="T112" s="70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185"/>
      <c r="AF112" s="49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2"/>
      <c r="BP112" s="53"/>
    </row>
    <row r="113" spans="1:68" s="88" customFormat="1" ht="19.5" customHeight="1" thickBot="1" x14ac:dyDescent="0.3">
      <c r="A113"/>
      <c r="B113" s="85" t="s">
        <v>138</v>
      </c>
      <c r="C113" s="20" t="s">
        <v>52</v>
      </c>
      <c r="D113" s="20"/>
      <c r="E113" s="21"/>
      <c r="F113" s="21"/>
      <c r="G113" s="22"/>
      <c r="H113" s="23"/>
      <c r="I113" s="24"/>
      <c r="J113" s="24"/>
      <c r="K113" s="24"/>
      <c r="L113" s="24"/>
      <c r="M113" s="25"/>
      <c r="N113" s="25"/>
      <c r="O113" s="26"/>
      <c r="P113" s="76">
        <v>0</v>
      </c>
      <c r="Q113" s="77"/>
      <c r="R113" s="77"/>
      <c r="S113" s="217"/>
      <c r="T113" s="70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185"/>
      <c r="AF113" s="232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233"/>
      <c r="BC113" s="233"/>
      <c r="BD113" s="233"/>
      <c r="BE113" s="233"/>
      <c r="BF113" s="233"/>
      <c r="BG113" s="233"/>
      <c r="BH113" s="233"/>
      <c r="BI113" s="233"/>
      <c r="BJ113" s="233"/>
      <c r="BK113" s="233"/>
      <c r="BL113" s="233"/>
      <c r="BM113" s="233"/>
      <c r="BN113" s="233"/>
      <c r="BO113" s="234"/>
      <c r="BP113" s="54"/>
    </row>
    <row r="114" spans="1:68" s="88" customFormat="1" ht="26.25" customHeight="1" thickBot="1" x14ac:dyDescent="0.3">
      <c r="A114"/>
      <c r="B114" s="126">
        <v>24</v>
      </c>
      <c r="C114" s="127" t="s">
        <v>163</v>
      </c>
      <c r="D114" s="128" t="s">
        <v>81</v>
      </c>
      <c r="E114" s="128" t="s">
        <v>164</v>
      </c>
      <c r="F114" s="129"/>
      <c r="G114" s="130"/>
      <c r="H114" s="130" t="s">
        <v>119</v>
      </c>
      <c r="I114" s="131">
        <v>7528</v>
      </c>
      <c r="J114" s="131">
        <v>0</v>
      </c>
      <c r="K114" s="156" t="s">
        <v>166</v>
      </c>
      <c r="L114" s="131" t="s">
        <v>115</v>
      </c>
      <c r="M114" s="132"/>
      <c r="N114" s="132">
        <v>46843</v>
      </c>
      <c r="O114" s="133" t="s">
        <v>155</v>
      </c>
      <c r="P114" s="134"/>
      <c r="Q114" s="135"/>
      <c r="R114" s="135"/>
      <c r="S114" s="230"/>
      <c r="T114" s="70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185"/>
      <c r="AF114" s="49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2"/>
      <c r="BP114" s="53"/>
    </row>
    <row r="115" spans="1:68" s="88" customFormat="1" ht="19.5" customHeight="1" thickBot="1" x14ac:dyDescent="0.3">
      <c r="A115"/>
      <c r="B115" s="136" t="s">
        <v>137</v>
      </c>
      <c r="C115" s="137" t="s">
        <v>52</v>
      </c>
      <c r="D115" s="137"/>
      <c r="E115" s="138"/>
      <c r="F115" s="138"/>
      <c r="G115" s="139"/>
      <c r="H115" s="140"/>
      <c r="I115" s="141"/>
      <c r="J115" s="141"/>
      <c r="K115" s="141"/>
      <c r="L115" s="141"/>
      <c r="M115" s="142"/>
      <c r="N115" s="142"/>
      <c r="O115" s="143"/>
      <c r="P115" s="144">
        <v>0</v>
      </c>
      <c r="Q115" s="145"/>
      <c r="R115" s="145"/>
      <c r="S115" s="231"/>
      <c r="T115" s="70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185"/>
      <c r="AF115" s="232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  <c r="AZ115" s="233"/>
      <c r="BA115" s="233"/>
      <c r="BB115" s="233"/>
      <c r="BC115" s="233"/>
      <c r="BD115" s="233"/>
      <c r="BE115" s="233"/>
      <c r="BF115" s="233"/>
      <c r="BG115" s="233"/>
      <c r="BH115" s="233"/>
      <c r="BI115" s="233"/>
      <c r="BJ115" s="233"/>
      <c r="BK115" s="233"/>
      <c r="BL115" s="233"/>
      <c r="BM115" s="233"/>
      <c r="BN115" s="233"/>
      <c r="BO115" s="234"/>
      <c r="BP115" s="54"/>
    </row>
    <row r="116" spans="1:68" s="88" customFormat="1" ht="27.75" customHeight="1" thickBot="1" x14ac:dyDescent="0.3">
      <c r="A116"/>
      <c r="B116" s="126">
        <v>25</v>
      </c>
      <c r="C116" s="127" t="s">
        <v>163</v>
      </c>
      <c r="D116" s="128" t="s">
        <v>165</v>
      </c>
      <c r="E116" s="128" t="s">
        <v>164</v>
      </c>
      <c r="F116" s="129"/>
      <c r="G116" s="130"/>
      <c r="H116" s="130" t="s">
        <v>29</v>
      </c>
      <c r="I116" s="131">
        <v>1791</v>
      </c>
      <c r="J116" s="131">
        <v>0</v>
      </c>
      <c r="K116" s="156" t="s">
        <v>166</v>
      </c>
      <c r="L116" s="131" t="s">
        <v>115</v>
      </c>
      <c r="M116" s="132"/>
      <c r="N116" s="132">
        <v>46843</v>
      </c>
      <c r="O116" s="133" t="s">
        <v>155</v>
      </c>
      <c r="P116" s="134"/>
      <c r="Q116" s="135"/>
      <c r="R116" s="135"/>
      <c r="S116" s="230"/>
      <c r="T116" s="70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6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71"/>
      <c r="BP116" s="48"/>
    </row>
    <row r="117" spans="1:68" s="88" customFormat="1" ht="19.5" customHeight="1" thickBot="1" x14ac:dyDescent="0.3">
      <c r="A117"/>
      <c r="B117" s="136" t="s">
        <v>136</v>
      </c>
      <c r="C117" s="137" t="s">
        <v>52</v>
      </c>
      <c r="D117" s="137"/>
      <c r="E117" s="138"/>
      <c r="F117" s="138"/>
      <c r="G117" s="139"/>
      <c r="H117" s="140"/>
      <c r="I117" s="141"/>
      <c r="J117" s="141"/>
      <c r="K117" s="141"/>
      <c r="L117" s="141"/>
      <c r="M117" s="142"/>
      <c r="N117" s="142"/>
      <c r="O117" s="143"/>
      <c r="P117" s="144">
        <v>0</v>
      </c>
      <c r="Q117" s="145"/>
      <c r="R117" s="145"/>
      <c r="S117" s="231"/>
      <c r="T117" s="70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6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71"/>
      <c r="BP117" s="48"/>
    </row>
    <row r="118" spans="1:68" s="88" customFormat="1" ht="29.25" customHeight="1" thickBot="1" x14ac:dyDescent="0.3">
      <c r="A118"/>
      <c r="B118" s="126">
        <v>26</v>
      </c>
      <c r="C118" s="127" t="s">
        <v>167</v>
      </c>
      <c r="D118" s="128" t="s">
        <v>168</v>
      </c>
      <c r="E118" s="128" t="s">
        <v>26</v>
      </c>
      <c r="F118" s="129"/>
      <c r="G118" s="130"/>
      <c r="H118" s="130" t="s">
        <v>119</v>
      </c>
      <c r="I118" s="131">
        <v>2550</v>
      </c>
      <c r="J118" s="131">
        <v>0</v>
      </c>
      <c r="K118" s="156" t="s">
        <v>166</v>
      </c>
      <c r="L118" s="131" t="s">
        <v>115</v>
      </c>
      <c r="M118" s="132"/>
      <c r="N118" s="132">
        <v>46843</v>
      </c>
      <c r="O118" s="133" t="s">
        <v>155</v>
      </c>
      <c r="P118" s="134"/>
      <c r="Q118" s="135"/>
      <c r="R118" s="135"/>
      <c r="S118" s="230"/>
      <c r="T118" s="70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185"/>
      <c r="AF118" s="49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2"/>
      <c r="BP118" s="53"/>
    </row>
    <row r="119" spans="1:68" s="88" customFormat="1" ht="19.5" customHeight="1" thickBot="1" x14ac:dyDescent="0.3">
      <c r="A119"/>
      <c r="B119" s="136" t="s">
        <v>135</v>
      </c>
      <c r="C119" s="137" t="s">
        <v>52</v>
      </c>
      <c r="D119" s="137"/>
      <c r="E119" s="138"/>
      <c r="F119" s="138"/>
      <c r="G119" s="139"/>
      <c r="H119" s="140"/>
      <c r="I119" s="141"/>
      <c r="J119" s="141"/>
      <c r="K119" s="141"/>
      <c r="L119" s="141"/>
      <c r="M119" s="142"/>
      <c r="N119" s="142"/>
      <c r="O119" s="143"/>
      <c r="P119" s="144">
        <v>0</v>
      </c>
      <c r="Q119" s="145"/>
      <c r="R119" s="145"/>
      <c r="S119" s="231"/>
      <c r="T119" s="70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185"/>
      <c r="AF119" s="232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/>
      <c r="AY119" s="233"/>
      <c r="AZ119" s="233"/>
      <c r="BA119" s="233"/>
      <c r="BB119" s="233"/>
      <c r="BC119" s="233"/>
      <c r="BD119" s="233"/>
      <c r="BE119" s="233"/>
      <c r="BF119" s="233"/>
      <c r="BG119" s="233"/>
      <c r="BH119" s="233"/>
      <c r="BI119" s="233"/>
      <c r="BJ119" s="233"/>
      <c r="BK119" s="233"/>
      <c r="BL119" s="233"/>
      <c r="BM119" s="233"/>
      <c r="BN119" s="233"/>
      <c r="BO119" s="234"/>
      <c r="BP119" s="54"/>
    </row>
    <row r="120" spans="1:68" s="88" customFormat="1" ht="27.75" customHeight="1" thickBot="1" x14ac:dyDescent="0.3">
      <c r="A120"/>
      <c r="B120" s="126">
        <v>27</v>
      </c>
      <c r="C120" s="127" t="s">
        <v>169</v>
      </c>
      <c r="D120" s="128" t="s">
        <v>171</v>
      </c>
      <c r="E120" s="128" t="s">
        <v>170</v>
      </c>
      <c r="F120" s="129"/>
      <c r="G120" s="130"/>
      <c r="H120" s="133" t="s">
        <v>172</v>
      </c>
      <c r="I120" s="131">
        <v>1</v>
      </c>
      <c r="J120" s="131">
        <v>0</v>
      </c>
      <c r="K120" s="156" t="s">
        <v>166</v>
      </c>
      <c r="L120" s="131" t="s">
        <v>115</v>
      </c>
      <c r="M120" s="132"/>
      <c r="N120" s="132">
        <v>46843</v>
      </c>
      <c r="O120" s="133" t="s">
        <v>155</v>
      </c>
      <c r="P120" s="134"/>
      <c r="Q120" s="135"/>
      <c r="R120" s="135"/>
      <c r="S120" s="230"/>
      <c r="T120" s="70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6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71"/>
      <c r="BP120" s="48"/>
    </row>
    <row r="121" spans="1:68" s="88" customFormat="1" ht="19.5" customHeight="1" thickBot="1" x14ac:dyDescent="0.3">
      <c r="A121"/>
      <c r="B121" s="136" t="s">
        <v>134</v>
      </c>
      <c r="C121" s="137" t="s">
        <v>52</v>
      </c>
      <c r="D121" s="137"/>
      <c r="E121" s="138"/>
      <c r="F121" s="138"/>
      <c r="G121" s="139"/>
      <c r="H121" s="140"/>
      <c r="I121" s="141"/>
      <c r="J121" s="141"/>
      <c r="K121" s="141"/>
      <c r="L121" s="141"/>
      <c r="M121" s="142"/>
      <c r="N121" s="142"/>
      <c r="O121" s="143"/>
      <c r="P121" s="144">
        <v>0</v>
      </c>
      <c r="Q121" s="145"/>
      <c r="R121" s="145"/>
      <c r="S121" s="231"/>
      <c r="T121" s="70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6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71"/>
      <c r="BP121" s="48"/>
    </row>
    <row r="122" spans="1:68" s="88" customFormat="1" ht="30" customHeight="1" thickBot="1" x14ac:dyDescent="0.3">
      <c r="A122"/>
      <c r="B122" s="126">
        <v>28</v>
      </c>
      <c r="C122" s="127" t="s">
        <v>71</v>
      </c>
      <c r="D122" s="128" t="s">
        <v>91</v>
      </c>
      <c r="E122" s="128" t="s">
        <v>58</v>
      </c>
      <c r="F122" s="129"/>
      <c r="G122" s="130" t="s">
        <v>173</v>
      </c>
      <c r="H122" s="130" t="s">
        <v>29</v>
      </c>
      <c r="I122" s="131">
        <v>1791</v>
      </c>
      <c r="J122" s="131">
        <v>0</v>
      </c>
      <c r="K122" s="156" t="s">
        <v>162</v>
      </c>
      <c r="L122" s="131" t="s">
        <v>115</v>
      </c>
      <c r="M122" s="132"/>
      <c r="N122" s="132">
        <v>46843</v>
      </c>
      <c r="O122" s="133" t="s">
        <v>155</v>
      </c>
      <c r="P122" s="134"/>
      <c r="Q122" s="135"/>
      <c r="R122" s="135"/>
      <c r="S122" s="230"/>
      <c r="T122" s="70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185"/>
      <c r="AF122" s="49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2"/>
      <c r="BP122" s="53"/>
    </row>
    <row r="123" spans="1:68" s="88" customFormat="1" ht="19.5" customHeight="1" thickBot="1" x14ac:dyDescent="0.3">
      <c r="A123"/>
      <c r="B123" s="136" t="s">
        <v>174</v>
      </c>
      <c r="C123" s="137" t="s">
        <v>52</v>
      </c>
      <c r="D123" s="137"/>
      <c r="E123" s="138"/>
      <c r="F123" s="138"/>
      <c r="G123" s="139"/>
      <c r="H123" s="140"/>
      <c r="I123" s="141"/>
      <c r="J123" s="141"/>
      <c r="K123" s="141"/>
      <c r="L123" s="141"/>
      <c r="M123" s="142"/>
      <c r="N123" s="142"/>
      <c r="O123" s="143"/>
      <c r="P123" s="144">
        <v>0</v>
      </c>
      <c r="Q123" s="145"/>
      <c r="R123" s="145"/>
      <c r="S123" s="231"/>
      <c r="T123" s="70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185"/>
      <c r="AF123" s="232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  <c r="BN123" s="233"/>
      <c r="BO123" s="234"/>
      <c r="BP123" s="54"/>
    </row>
    <row r="124" spans="1:68" s="88" customFormat="1" ht="31.5" customHeight="1" thickBot="1" x14ac:dyDescent="0.3">
      <c r="A124"/>
      <c r="B124" s="126">
        <v>29</v>
      </c>
      <c r="C124" s="127" t="s">
        <v>90</v>
      </c>
      <c r="D124" s="128" t="s">
        <v>86</v>
      </c>
      <c r="E124" s="128" t="s">
        <v>60</v>
      </c>
      <c r="F124" s="129"/>
      <c r="G124" s="130" t="s">
        <v>173</v>
      </c>
      <c r="H124" s="130" t="s">
        <v>29</v>
      </c>
      <c r="I124" s="131">
        <v>628</v>
      </c>
      <c r="J124" s="131">
        <v>0</v>
      </c>
      <c r="K124" s="156" t="s">
        <v>162</v>
      </c>
      <c r="L124" s="131" t="s">
        <v>115</v>
      </c>
      <c r="M124" s="132"/>
      <c r="N124" s="132">
        <v>46843</v>
      </c>
      <c r="O124" s="133" t="s">
        <v>155</v>
      </c>
      <c r="P124" s="134"/>
      <c r="Q124" s="135"/>
      <c r="R124" s="135"/>
      <c r="S124" s="230"/>
      <c r="T124" s="70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6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71"/>
      <c r="BP124" s="48"/>
    </row>
    <row r="125" spans="1:68" s="88" customFormat="1" ht="19.5" customHeight="1" thickBot="1" x14ac:dyDescent="0.3">
      <c r="A125"/>
      <c r="B125" s="136" t="s">
        <v>175</v>
      </c>
      <c r="C125" s="137" t="s">
        <v>52</v>
      </c>
      <c r="D125" s="137"/>
      <c r="E125" s="138"/>
      <c r="F125" s="138"/>
      <c r="G125" s="139"/>
      <c r="H125" s="140"/>
      <c r="I125" s="141"/>
      <c r="J125" s="141"/>
      <c r="K125" s="141"/>
      <c r="L125" s="141"/>
      <c r="M125" s="142"/>
      <c r="N125" s="142"/>
      <c r="O125" s="143"/>
      <c r="P125" s="144">
        <v>0</v>
      </c>
      <c r="Q125" s="145"/>
      <c r="R125" s="145"/>
      <c r="S125" s="231"/>
      <c r="T125" s="70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6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71"/>
      <c r="BP125" s="48"/>
    </row>
    <row r="126" spans="1:68" ht="30" customHeight="1" thickBot="1" x14ac:dyDescent="0.3">
      <c r="B126" s="126">
        <v>30</v>
      </c>
      <c r="C126" s="127" t="s">
        <v>167</v>
      </c>
      <c r="D126" s="128" t="s">
        <v>86</v>
      </c>
      <c r="E126" s="128" t="s">
        <v>26</v>
      </c>
      <c r="F126" s="129"/>
      <c r="G126" s="130"/>
      <c r="H126" s="130" t="s">
        <v>119</v>
      </c>
      <c r="I126" s="131">
        <v>3872</v>
      </c>
      <c r="J126" s="131">
        <v>0</v>
      </c>
      <c r="K126" s="131" t="s">
        <v>68</v>
      </c>
      <c r="L126" s="131" t="s">
        <v>115</v>
      </c>
      <c r="M126" s="132"/>
      <c r="N126" s="132">
        <v>46843</v>
      </c>
      <c r="O126" s="133" t="s">
        <v>155</v>
      </c>
      <c r="P126" s="134"/>
      <c r="Q126" s="135"/>
      <c r="R126" s="135"/>
      <c r="S126" s="230"/>
      <c r="T126" s="60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61"/>
      <c r="BP126" s="162"/>
    </row>
    <row r="127" spans="1:68" s="2" customFormat="1" ht="23.25" customHeight="1" thickBot="1" x14ac:dyDescent="0.3">
      <c r="A127"/>
      <c r="B127" s="136" t="s">
        <v>176</v>
      </c>
      <c r="C127" s="137" t="s">
        <v>52</v>
      </c>
      <c r="D127" s="137"/>
      <c r="E127" s="138"/>
      <c r="F127" s="138"/>
      <c r="G127" s="139"/>
      <c r="H127" s="140"/>
      <c r="I127" s="141"/>
      <c r="J127" s="141"/>
      <c r="K127" s="141"/>
      <c r="L127" s="141"/>
      <c r="M127" s="142"/>
      <c r="N127" s="142"/>
      <c r="O127" s="143"/>
      <c r="P127" s="144">
        <v>0</v>
      </c>
      <c r="Q127" s="145"/>
      <c r="R127" s="145"/>
      <c r="S127" s="231"/>
      <c r="T127" s="62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31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63"/>
      <c r="BP127" s="163"/>
    </row>
    <row r="128" spans="1:68" ht="30" customHeight="1" thickBot="1" x14ac:dyDescent="0.3">
      <c r="B128" s="126">
        <v>31</v>
      </c>
      <c r="C128" s="127" t="s">
        <v>167</v>
      </c>
      <c r="D128" s="128" t="s">
        <v>168</v>
      </c>
      <c r="E128" s="128" t="s">
        <v>121</v>
      </c>
      <c r="F128" s="129"/>
      <c r="G128" s="130"/>
      <c r="H128" s="133" t="s">
        <v>172</v>
      </c>
      <c r="I128" s="131">
        <v>163</v>
      </c>
      <c r="J128" s="131">
        <v>0</v>
      </c>
      <c r="K128" s="131" t="s">
        <v>68</v>
      </c>
      <c r="L128" s="131" t="s">
        <v>115</v>
      </c>
      <c r="M128" s="132"/>
      <c r="N128" s="132">
        <v>46843</v>
      </c>
      <c r="O128" s="133" t="s">
        <v>155</v>
      </c>
      <c r="P128" s="134"/>
      <c r="Q128" s="135"/>
      <c r="R128" s="135"/>
      <c r="S128" s="230"/>
      <c r="T128" s="60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61"/>
      <c r="BP128" s="162"/>
    </row>
    <row r="129" spans="1:68" s="2" customFormat="1" ht="23.25" customHeight="1" thickBot="1" x14ac:dyDescent="0.3">
      <c r="A129"/>
      <c r="B129" s="136" t="s">
        <v>177</v>
      </c>
      <c r="C129" s="137" t="s">
        <v>52</v>
      </c>
      <c r="D129" s="137"/>
      <c r="E129" s="138"/>
      <c r="F129" s="138"/>
      <c r="G129" s="139"/>
      <c r="H129" s="140"/>
      <c r="I129" s="141"/>
      <c r="J129" s="141"/>
      <c r="K129" s="141"/>
      <c r="L129" s="141"/>
      <c r="M129" s="142"/>
      <c r="N129" s="142"/>
      <c r="O129" s="143"/>
      <c r="P129" s="144">
        <v>0</v>
      </c>
      <c r="Q129" s="145"/>
      <c r="R129" s="145"/>
      <c r="S129" s="231"/>
      <c r="T129" s="62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31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63"/>
      <c r="BP129" s="163"/>
    </row>
    <row r="130" spans="1:68" ht="30" customHeight="1" thickBot="1" x14ac:dyDescent="0.3">
      <c r="B130" s="126">
        <v>32</v>
      </c>
      <c r="C130" s="127" t="s">
        <v>89</v>
      </c>
      <c r="D130" s="128" t="s">
        <v>82</v>
      </c>
      <c r="E130" s="128" t="s">
        <v>53</v>
      </c>
      <c r="F130" s="129"/>
      <c r="G130" s="130" t="s">
        <v>173</v>
      </c>
      <c r="H130" s="130" t="s">
        <v>29</v>
      </c>
      <c r="I130" s="131">
        <v>2756</v>
      </c>
      <c r="J130" s="131">
        <v>0</v>
      </c>
      <c r="K130" s="131" t="s">
        <v>68</v>
      </c>
      <c r="L130" s="131" t="s">
        <v>115</v>
      </c>
      <c r="M130" s="132"/>
      <c r="N130" s="132">
        <v>46843</v>
      </c>
      <c r="O130" s="133" t="s">
        <v>155</v>
      </c>
      <c r="P130" s="134"/>
      <c r="Q130" s="135"/>
      <c r="R130" s="135"/>
      <c r="S130" s="230"/>
      <c r="T130" s="60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61"/>
      <c r="BP130" s="162"/>
    </row>
    <row r="131" spans="1:68" s="2" customFormat="1" ht="25.5" customHeight="1" thickBot="1" x14ac:dyDescent="0.3">
      <c r="A131"/>
      <c r="B131" s="136" t="s">
        <v>178</v>
      </c>
      <c r="C131" s="137" t="s">
        <v>52</v>
      </c>
      <c r="D131" s="137"/>
      <c r="E131" s="138"/>
      <c r="F131" s="138"/>
      <c r="G131" s="139"/>
      <c r="H131" s="140"/>
      <c r="I131" s="141"/>
      <c r="J131" s="141"/>
      <c r="K131" s="141"/>
      <c r="L131" s="141"/>
      <c r="M131" s="142"/>
      <c r="N131" s="142"/>
      <c r="O131" s="143"/>
      <c r="P131" s="144">
        <v>0</v>
      </c>
      <c r="Q131" s="145"/>
      <c r="R131" s="145"/>
      <c r="S131" s="231"/>
      <c r="T131" s="62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31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63"/>
      <c r="BP131" s="163"/>
    </row>
    <row r="132" spans="1:68" ht="30" customHeight="1" thickBot="1" x14ac:dyDescent="0.3">
      <c r="B132" s="126">
        <v>33</v>
      </c>
      <c r="C132" s="127" t="s">
        <v>88</v>
      </c>
      <c r="D132" s="128" t="s">
        <v>82</v>
      </c>
      <c r="E132" s="128" t="s">
        <v>25</v>
      </c>
      <c r="F132" s="129"/>
      <c r="G132" s="130" t="s">
        <v>173</v>
      </c>
      <c r="H132" s="130" t="s">
        <v>29</v>
      </c>
      <c r="I132" s="131">
        <v>596</v>
      </c>
      <c r="J132" s="131">
        <v>0</v>
      </c>
      <c r="K132" s="131" t="s">
        <v>68</v>
      </c>
      <c r="L132" s="131" t="s">
        <v>115</v>
      </c>
      <c r="M132" s="132"/>
      <c r="N132" s="132">
        <v>46843</v>
      </c>
      <c r="O132" s="133" t="s">
        <v>155</v>
      </c>
      <c r="P132" s="134"/>
      <c r="Q132" s="135"/>
      <c r="R132" s="135"/>
      <c r="S132" s="230"/>
      <c r="T132" s="60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61"/>
      <c r="BP132" s="162"/>
    </row>
    <row r="133" spans="1:68" s="2" customFormat="1" ht="23.25" customHeight="1" thickBot="1" x14ac:dyDescent="0.3">
      <c r="A133"/>
      <c r="B133" s="136" t="s">
        <v>179</v>
      </c>
      <c r="C133" s="137" t="s">
        <v>52</v>
      </c>
      <c r="D133" s="137"/>
      <c r="E133" s="138"/>
      <c r="F133" s="138"/>
      <c r="G133" s="139"/>
      <c r="H133" s="140"/>
      <c r="I133" s="141"/>
      <c r="J133" s="141"/>
      <c r="K133" s="141"/>
      <c r="L133" s="141"/>
      <c r="M133" s="142"/>
      <c r="N133" s="142"/>
      <c r="O133" s="143"/>
      <c r="P133" s="144">
        <v>0</v>
      </c>
      <c r="Q133" s="145"/>
      <c r="R133" s="145"/>
      <c r="S133" s="231"/>
      <c r="T133" s="62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31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63"/>
      <c r="BP133" s="163"/>
    </row>
    <row r="134" spans="1:68" ht="30" customHeight="1" thickBot="1" x14ac:dyDescent="0.3">
      <c r="B134" s="126">
        <v>34</v>
      </c>
      <c r="C134" s="127" t="s">
        <v>87</v>
      </c>
      <c r="D134" s="128" t="s">
        <v>91</v>
      </c>
      <c r="E134" s="128" t="s">
        <v>61</v>
      </c>
      <c r="F134" s="129"/>
      <c r="G134" s="130" t="s">
        <v>173</v>
      </c>
      <c r="H134" s="130" t="s">
        <v>29</v>
      </c>
      <c r="I134" s="131">
        <v>287</v>
      </c>
      <c r="J134" s="131">
        <v>0</v>
      </c>
      <c r="K134" s="131" t="s">
        <v>68</v>
      </c>
      <c r="L134" s="131" t="s">
        <v>115</v>
      </c>
      <c r="M134" s="132"/>
      <c r="N134" s="132">
        <v>46843</v>
      </c>
      <c r="O134" s="133" t="s">
        <v>155</v>
      </c>
      <c r="P134" s="134"/>
      <c r="Q134" s="135"/>
      <c r="R134" s="135"/>
      <c r="S134" s="230"/>
      <c r="T134" s="60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61"/>
      <c r="BP134" s="162"/>
    </row>
    <row r="135" spans="1:68" ht="24" customHeight="1" thickBot="1" x14ac:dyDescent="0.3">
      <c r="B135" s="136" t="s">
        <v>180</v>
      </c>
      <c r="C135" s="137" t="s">
        <v>52</v>
      </c>
      <c r="D135" s="137"/>
      <c r="E135" s="138"/>
      <c r="F135" s="138"/>
      <c r="G135" s="139"/>
      <c r="H135" s="140"/>
      <c r="I135" s="141"/>
      <c r="J135" s="141"/>
      <c r="K135" s="141"/>
      <c r="L135" s="141"/>
      <c r="M135" s="142"/>
      <c r="N135" s="142"/>
      <c r="O135" s="143"/>
      <c r="P135" s="144">
        <v>0</v>
      </c>
      <c r="Q135" s="145"/>
      <c r="R135" s="145"/>
      <c r="S135" s="231"/>
      <c r="T135" s="62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31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63"/>
      <c r="BP135" s="163"/>
    </row>
    <row r="136" spans="1:68" ht="30" customHeight="1" thickBot="1" x14ac:dyDescent="0.3">
      <c r="B136" s="126">
        <v>35</v>
      </c>
      <c r="C136" s="127" t="s">
        <v>85</v>
      </c>
      <c r="D136" s="128" t="s">
        <v>86</v>
      </c>
      <c r="E136" s="128" t="s">
        <v>62</v>
      </c>
      <c r="F136" s="129"/>
      <c r="G136" s="130" t="s">
        <v>173</v>
      </c>
      <c r="H136" s="130" t="s">
        <v>29</v>
      </c>
      <c r="I136" s="131">
        <v>354</v>
      </c>
      <c r="J136" s="131">
        <v>0</v>
      </c>
      <c r="K136" s="131" t="s">
        <v>68</v>
      </c>
      <c r="L136" s="131" t="s">
        <v>115</v>
      </c>
      <c r="M136" s="132"/>
      <c r="N136" s="132">
        <v>46843</v>
      </c>
      <c r="O136" s="133" t="s">
        <v>155</v>
      </c>
      <c r="P136" s="134"/>
      <c r="Q136" s="135"/>
      <c r="R136" s="135"/>
      <c r="S136" s="230"/>
      <c r="T136" s="60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61"/>
      <c r="BP136" s="162"/>
    </row>
    <row r="137" spans="1:68" ht="22.5" customHeight="1" thickBot="1" x14ac:dyDescent="0.3">
      <c r="B137" s="136" t="s">
        <v>181</v>
      </c>
      <c r="C137" s="137" t="s">
        <v>52</v>
      </c>
      <c r="D137" s="137"/>
      <c r="E137" s="138"/>
      <c r="F137" s="138"/>
      <c r="G137" s="139"/>
      <c r="H137" s="140"/>
      <c r="I137" s="141"/>
      <c r="J137" s="141"/>
      <c r="K137" s="141"/>
      <c r="L137" s="141"/>
      <c r="M137" s="142"/>
      <c r="N137" s="142"/>
      <c r="O137" s="143"/>
      <c r="P137" s="144">
        <v>0</v>
      </c>
      <c r="Q137" s="145"/>
      <c r="R137" s="145"/>
      <c r="S137" s="231"/>
      <c r="T137" s="62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31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63"/>
      <c r="BP137" s="163"/>
    </row>
    <row r="138" spans="1:68" ht="15" customHeight="1" x14ac:dyDescent="0.25"/>
    <row r="139" spans="1:68" ht="18" customHeight="1" x14ac:dyDescent="0.25"/>
    <row r="140" spans="1:68" ht="15.75" customHeight="1" x14ac:dyDescent="0.25"/>
    <row r="141" spans="1:68" ht="20.25" customHeight="1" x14ac:dyDescent="0.25"/>
    <row r="143" spans="1:68" ht="30" customHeight="1" thickBot="1" x14ac:dyDescent="0.3">
      <c r="C143" s="161" t="s">
        <v>59</v>
      </c>
      <c r="D143" s="43"/>
    </row>
    <row r="144" spans="1:68" ht="30" customHeight="1" thickBot="1" x14ac:dyDescent="0.3">
      <c r="C144" s="124" t="s">
        <v>189</v>
      </c>
      <c r="D144" s="147" t="s">
        <v>190</v>
      </c>
      <c r="H144" s="75"/>
      <c r="I144" s="84"/>
    </row>
    <row r="145" spans="1:68" ht="30" customHeight="1" thickBot="1" x14ac:dyDescent="0.3">
      <c r="C145" s="18" t="s">
        <v>191</v>
      </c>
      <c r="D145" s="148">
        <v>10</v>
      </c>
      <c r="I145" s="84"/>
    </row>
    <row r="146" spans="1:68" ht="30" customHeight="1" x14ac:dyDescent="0.25">
      <c r="C146" s="125" t="s">
        <v>192</v>
      </c>
      <c r="D146" s="149">
        <v>10</v>
      </c>
      <c r="I146" s="87"/>
    </row>
    <row r="157" spans="1:68" s="2" customFormat="1" ht="49.5" customHeight="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</row>
    <row r="158" spans="1:68" s="2" customFormat="1" ht="24.75" hidden="1" customHeight="1" thickBot="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</row>
    <row r="159" spans="1:68" s="2" customFormat="1" ht="22.5" hidden="1" customHeight="1" thickBo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</row>
    <row r="160" spans="1:68" s="2" customFormat="1" ht="27.75" hidden="1" customHeight="1" thickBot="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</row>
    <row r="161" spans="1:68" s="2" customFormat="1" ht="26.25" hidden="1" customHeight="1" thickBot="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</row>
    <row r="162" spans="1:68" s="2" customFormat="1" ht="27.75" hidden="1" customHeight="1" thickBot="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</row>
    <row r="163" spans="1:68" s="2" customFormat="1" ht="22.5" hidden="1" customHeight="1" thickBot="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</row>
    <row r="164" spans="1:68" s="2" customFormat="1" ht="22.5" hidden="1" customHeight="1" thickBot="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</row>
    <row r="165" spans="1:68" s="2" customFormat="1" ht="33" hidden="1" customHeight="1" thickBot="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</row>
    <row r="166" spans="1:68" s="2" customFormat="1" ht="30.75" hidden="1" customHeight="1" thickBot="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</row>
    <row r="167" spans="1:68" s="2" customFormat="1" ht="28.5" hidden="1" customHeight="1" thickBot="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</row>
    <row r="168" spans="1:68" s="2" customFormat="1" ht="22.5" hidden="1" customHeight="1" thickBot="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</row>
    <row r="169" spans="1:68" s="2" customFormat="1" ht="22.5" hidden="1" customHeight="1" thickBot="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</row>
    <row r="170" spans="1:68" s="2" customFormat="1" ht="22.5" hidden="1" customHeight="1" thickBot="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</row>
    <row r="171" spans="1:68" s="2" customFormat="1" ht="22.5" hidden="1" customHeight="1" thickBot="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</row>
    <row r="172" spans="1:68" s="2" customFormat="1" ht="48.75" customHeight="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</row>
    <row r="173" spans="1:68" s="2" customFormat="1" ht="15" hidden="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</row>
    <row r="174" spans="1:68" s="2" customFormat="1" ht="15" hidden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</row>
    <row r="175" spans="1:68" s="2" customFormat="1" ht="15" hidden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</row>
    <row r="176" spans="1:68" s="2" customFormat="1" ht="15" hidden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</row>
    <row r="177" spans="1:68" s="2" customFormat="1" ht="15" hidden="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</row>
    <row r="178" spans="1:68" s="2" customFormat="1" ht="15" hidden="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</row>
    <row r="179" spans="1:68" s="2" customFormat="1" ht="15" hidden="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</row>
    <row r="180" spans="1:68" s="2" customFormat="1" ht="15" hidden="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</row>
    <row r="181" spans="1:68" s="2" customFormat="1" ht="15" hidden="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</row>
    <row r="182" spans="1:68" s="2" customFormat="1" ht="15" hidden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</row>
    <row r="183" spans="1:68" s="2" customFormat="1" ht="15" hidden="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</row>
    <row r="184" spans="1:68" s="2" customFormat="1" ht="15" hidden="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</row>
    <row r="185" spans="1:68" s="2" customFormat="1" ht="15" hidden="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</row>
    <row r="186" spans="1:68" s="2" customFormat="1" ht="15" hidden="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</row>
    <row r="187" spans="1:68" s="2" customFormat="1" ht="15" hidden="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</row>
    <row r="188" spans="1:68" s="2" customFormat="1" ht="15" hidden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</row>
    <row r="189" spans="1:68" s="2" customFormat="1" ht="15" hidden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</row>
    <row r="190" spans="1:68" ht="15" hidden="1" x14ac:dyDescent="0.25">
      <c r="B190"/>
      <c r="Q190"/>
    </row>
    <row r="191" spans="1:68" ht="15" hidden="1" x14ac:dyDescent="0.25">
      <c r="B191"/>
      <c r="Q191"/>
    </row>
    <row r="192" spans="1:68" ht="15" hidden="1" x14ac:dyDescent="0.25">
      <c r="B192"/>
      <c r="Q192"/>
    </row>
    <row r="193" spans="2:17" ht="15" hidden="1" x14ac:dyDescent="0.25">
      <c r="B193"/>
      <c r="Q193"/>
    </row>
    <row r="194" spans="2:17" ht="15" hidden="1" x14ac:dyDescent="0.25">
      <c r="B194"/>
      <c r="Q194"/>
    </row>
    <row r="195" spans="2:17" ht="15" hidden="1" x14ac:dyDescent="0.25">
      <c r="B195"/>
      <c r="Q195"/>
    </row>
    <row r="196" spans="2:17" ht="15" hidden="1" x14ac:dyDescent="0.25">
      <c r="B196"/>
      <c r="Q196"/>
    </row>
    <row r="197" spans="2:17" ht="15" hidden="1" x14ac:dyDescent="0.25">
      <c r="B197"/>
      <c r="Q197"/>
    </row>
    <row r="198" spans="2:17" ht="15" hidden="1" x14ac:dyDescent="0.25">
      <c r="B198"/>
      <c r="Q198"/>
    </row>
    <row r="199" spans="2:17" ht="45.75" customHeight="1" x14ac:dyDescent="0.25">
      <c r="B199"/>
      <c r="Q199"/>
    </row>
    <row r="200" spans="2:17" ht="15" hidden="1" x14ac:dyDescent="0.25">
      <c r="B200"/>
      <c r="Q200"/>
    </row>
    <row r="201" spans="2:17" ht="15" hidden="1" x14ac:dyDescent="0.25">
      <c r="B201"/>
      <c r="Q201"/>
    </row>
    <row r="202" spans="2:17" ht="15" hidden="1" x14ac:dyDescent="0.25">
      <c r="B202"/>
      <c r="Q202"/>
    </row>
    <row r="203" spans="2:17" ht="15" hidden="1" x14ac:dyDescent="0.25">
      <c r="B203"/>
      <c r="Q203"/>
    </row>
    <row r="204" spans="2:17" ht="15" hidden="1" x14ac:dyDescent="0.25">
      <c r="B204"/>
      <c r="Q204"/>
    </row>
    <row r="205" spans="2:17" ht="15" hidden="1" x14ac:dyDescent="0.25">
      <c r="B205"/>
      <c r="Q205"/>
    </row>
    <row r="206" spans="2:17" ht="15" hidden="1" x14ac:dyDescent="0.25">
      <c r="B206"/>
      <c r="Q206"/>
    </row>
    <row r="207" spans="2:17" ht="15" hidden="1" x14ac:dyDescent="0.25">
      <c r="B207"/>
      <c r="Q207"/>
    </row>
    <row r="208" spans="2:17" ht="39.75" customHeight="1" x14ac:dyDescent="0.25">
      <c r="B208"/>
      <c r="Q208"/>
    </row>
    <row r="209" spans="2:17" ht="30" customHeight="1" x14ac:dyDescent="0.25">
      <c r="B209"/>
      <c r="Q209"/>
    </row>
    <row r="210" spans="2:17" ht="30" customHeight="1" x14ac:dyDescent="0.25">
      <c r="B210"/>
      <c r="Q210"/>
    </row>
    <row r="211" spans="2:17" ht="30" customHeight="1" x14ac:dyDescent="0.25">
      <c r="B211"/>
      <c r="Q211"/>
    </row>
    <row r="212" spans="2:17" ht="30" customHeight="1" x14ac:dyDescent="0.25">
      <c r="B212"/>
      <c r="Q212"/>
    </row>
    <row r="213" spans="2:17" ht="30" customHeight="1" x14ac:dyDescent="0.25">
      <c r="B213"/>
      <c r="Q213"/>
    </row>
    <row r="214" spans="2:17" ht="30" customHeight="1" x14ac:dyDescent="0.25">
      <c r="B214"/>
      <c r="Q214"/>
    </row>
    <row r="215" spans="2:17" ht="30" customHeight="1" x14ac:dyDescent="0.25">
      <c r="B215"/>
      <c r="Q215"/>
    </row>
    <row r="216" spans="2:17" ht="30" customHeight="1" x14ac:dyDescent="0.25">
      <c r="B216"/>
      <c r="Q216"/>
    </row>
    <row r="217" spans="2:17" ht="30" customHeight="1" x14ac:dyDescent="0.25">
      <c r="B217"/>
      <c r="Q217"/>
    </row>
    <row r="218" spans="2:17" ht="30" customHeight="1" x14ac:dyDescent="0.25">
      <c r="B218"/>
      <c r="Q218"/>
    </row>
    <row r="219" spans="2:17" ht="30" customHeight="1" x14ac:dyDescent="0.25">
      <c r="B219"/>
      <c r="Q219"/>
    </row>
    <row r="220" spans="2:17" ht="30" customHeight="1" x14ac:dyDescent="0.25">
      <c r="B220"/>
      <c r="Q220"/>
    </row>
    <row r="221" spans="2:17" ht="30" customHeight="1" x14ac:dyDescent="0.25">
      <c r="B221"/>
      <c r="Q221"/>
    </row>
    <row r="222" spans="2:17" ht="30" customHeight="1" x14ac:dyDescent="0.25">
      <c r="B222"/>
      <c r="Q222"/>
    </row>
    <row r="223" spans="2:17" ht="38.25" customHeight="1" x14ac:dyDescent="0.25">
      <c r="B223"/>
      <c r="Q223"/>
    </row>
    <row r="224" spans="2:17" ht="30" customHeight="1" x14ac:dyDescent="0.25">
      <c r="B224"/>
      <c r="Q224"/>
    </row>
    <row r="225" spans="2:17" ht="30" customHeight="1" x14ac:dyDescent="0.25">
      <c r="B225"/>
      <c r="Q225"/>
    </row>
    <row r="226" spans="2:17" ht="30" customHeight="1" x14ac:dyDescent="0.25">
      <c r="B226"/>
      <c r="Q226"/>
    </row>
    <row r="227" spans="2:17" ht="30" customHeight="1" x14ac:dyDescent="0.25">
      <c r="B227"/>
      <c r="Q227"/>
    </row>
    <row r="228" spans="2:17" ht="30" customHeight="1" x14ac:dyDescent="0.25">
      <c r="B228"/>
      <c r="Q228"/>
    </row>
    <row r="229" spans="2:17" ht="30" customHeight="1" x14ac:dyDescent="0.25">
      <c r="B229"/>
      <c r="Q229"/>
    </row>
    <row r="230" spans="2:17" ht="30" customHeight="1" x14ac:dyDescent="0.25">
      <c r="B230"/>
      <c r="Q230"/>
    </row>
    <row r="231" spans="2:17" ht="30" customHeight="1" x14ac:dyDescent="0.25">
      <c r="B231"/>
      <c r="Q231"/>
    </row>
    <row r="232" spans="2:17" ht="30" customHeight="1" x14ac:dyDescent="0.25">
      <c r="B232"/>
      <c r="Q232"/>
    </row>
    <row r="233" spans="2:17" ht="33" customHeight="1" x14ac:dyDescent="0.25">
      <c r="B233"/>
      <c r="Q233"/>
    </row>
    <row r="234" spans="2:17" ht="30" customHeight="1" x14ac:dyDescent="0.25">
      <c r="B234"/>
      <c r="Q234"/>
    </row>
    <row r="235" spans="2:17" ht="30" customHeight="1" x14ac:dyDescent="0.25">
      <c r="B235"/>
      <c r="Q235"/>
    </row>
    <row r="236" spans="2:17" ht="30" customHeight="1" x14ac:dyDescent="0.25">
      <c r="B236"/>
      <c r="Q236"/>
    </row>
    <row r="237" spans="2:17" ht="30" customHeight="1" x14ac:dyDescent="0.25">
      <c r="B237"/>
      <c r="Q237"/>
    </row>
    <row r="238" spans="2:17" ht="30" customHeight="1" x14ac:dyDescent="0.25">
      <c r="B238"/>
      <c r="Q238"/>
    </row>
    <row r="239" spans="2:17" ht="30" customHeight="1" x14ac:dyDescent="0.25">
      <c r="B239"/>
      <c r="Q239"/>
    </row>
    <row r="240" spans="2:17" ht="30" customHeight="1" x14ac:dyDescent="0.25">
      <c r="B240"/>
      <c r="Q240"/>
    </row>
    <row r="241" spans="2:17" ht="30" customHeight="1" x14ac:dyDescent="0.25">
      <c r="B241"/>
      <c r="Q241"/>
    </row>
    <row r="242" spans="2:17" ht="30" customHeight="1" x14ac:dyDescent="0.25">
      <c r="B242"/>
      <c r="Q242"/>
    </row>
    <row r="243" spans="2:17" ht="15" x14ac:dyDescent="0.25">
      <c r="B243"/>
      <c r="Q243"/>
    </row>
    <row r="244" spans="2:17" ht="30" customHeight="1" x14ac:dyDescent="0.25">
      <c r="B244"/>
      <c r="Q244"/>
    </row>
    <row r="245" spans="2:17" ht="30" customHeight="1" x14ac:dyDescent="0.25">
      <c r="B245"/>
      <c r="Q245"/>
    </row>
    <row r="246" spans="2:17" ht="15" x14ac:dyDescent="0.25">
      <c r="B246"/>
      <c r="Q246"/>
    </row>
    <row r="247" spans="2:17" ht="15" x14ac:dyDescent="0.25">
      <c r="B247"/>
      <c r="Q247"/>
    </row>
    <row r="248" spans="2:17" ht="30" customHeight="1" x14ac:dyDescent="0.25">
      <c r="B248"/>
      <c r="Q248"/>
    </row>
    <row r="249" spans="2:17" ht="30" customHeight="1" x14ac:dyDescent="0.25">
      <c r="B249"/>
      <c r="Q249"/>
    </row>
  </sheetData>
  <autoFilter ref="A6:BP137" xr:uid="{00000000-0001-0000-0000-000000000000}"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9" showButton="0"/>
    <filterColumn colId="60" showButton="0"/>
    <filterColumn colId="61" showButton="0"/>
    <filterColumn colId="63" showButton="0"/>
    <filterColumn colId="64" showButton="0"/>
    <filterColumn colId="65" showButton="0"/>
  </autoFilter>
  <mergeCells count="36">
    <mergeCell ref="BL6:BO6"/>
    <mergeCell ref="B4:M4"/>
    <mergeCell ref="AV6:AY6"/>
    <mergeCell ref="AZ6:BC6"/>
    <mergeCell ref="AF6:AI6"/>
    <mergeCell ref="AJ6:AM6"/>
    <mergeCell ref="AN6:AQ6"/>
    <mergeCell ref="BP43:BP44"/>
    <mergeCell ref="BP31:BP32"/>
    <mergeCell ref="BP7:BP8"/>
    <mergeCell ref="BP19:BP20"/>
    <mergeCell ref="B1:Q1"/>
    <mergeCell ref="BP4:BP6"/>
    <mergeCell ref="AF4:AQ5"/>
    <mergeCell ref="AR6:AU6"/>
    <mergeCell ref="T6:W6"/>
    <mergeCell ref="X6:AA6"/>
    <mergeCell ref="T4:AE5"/>
    <mergeCell ref="AB6:AE6"/>
    <mergeCell ref="AR4:BC5"/>
    <mergeCell ref="BD4:BO5"/>
    <mergeCell ref="BD6:BG6"/>
    <mergeCell ref="BH6:BK6"/>
    <mergeCell ref="BP96:BP97"/>
    <mergeCell ref="BP84:BP85"/>
    <mergeCell ref="BP86:BP87"/>
    <mergeCell ref="BP88:BP89"/>
    <mergeCell ref="BP79:BP80"/>
    <mergeCell ref="BP136:BP137"/>
    <mergeCell ref="BP104:BP105"/>
    <mergeCell ref="BP126:BP127"/>
    <mergeCell ref="BP128:BP129"/>
    <mergeCell ref="BP130:BP131"/>
    <mergeCell ref="BP110:BP111"/>
    <mergeCell ref="BP132:BP133"/>
    <mergeCell ref="BP134:BP135"/>
  </mergeCells>
  <phoneticPr fontId="25" type="noConversion"/>
  <conditionalFormatting sqref="F13:G17 F25:G29 F37:G41 F49:G53 F61:G65 F73:G77 P7:P137">
    <cfRule type="dataBar" priority="75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{89929A5D-0A76-4F72-8222-A727B4E83CF6}</x14:id>
        </ext>
      </extLst>
    </cfRule>
  </conditionalFormatting>
  <conditionalFormatting sqref="T7 W8:AD10 T8:V54 X11:Z18 Y19:AC19 W19:X30 X31:AD31 X32:X42 X43:Z54 X79:Z79 X80 T84:V103 X84:X103 T105:V125 X105:X125 T127 T133:T137 T68:V80">
    <cfRule type="expression" dxfId="257" priority="391">
      <formula>AND(Início_da_tarefa&lt;=T$4,ROUNDDOWN((Término_da_tarefa-Início_da_tarefa+1)*Progresso_da_tarefa,0)+Início_da_tarefa-1&gt;=T$4)</formula>
    </cfRule>
  </conditionalFormatting>
  <conditionalFormatting sqref="T7 W8:AD10 X11:Z18 Y19:AC19 W19:X30 X32:X42 X79:Z79 X80 T133:T137 T8:V54 X84:X103 X105:X125 T105:V125 T84:V103 X31:AD31 X43:Z54 T127">
    <cfRule type="expression" dxfId="256" priority="390" stopIfTrue="1">
      <formula>AND(Término_da_tarefa&gt;=T$4,Início_da_tarefa&lt;W$5)</formula>
    </cfRule>
  </conditionalFormatting>
  <conditionalFormatting sqref="T32:T42">
    <cfRule type="expression" dxfId="255" priority="696">
      <formula>AND(TODAY()&gt;=T$4,TODAY()&lt;W$5)</formula>
    </cfRule>
    <cfRule type="expression" dxfId="254" priority="697" stopIfTrue="1">
      <formula>AND(Término_da_tarefa&gt;=T$4,Início_da_tarefa&lt;W$5)</formula>
    </cfRule>
    <cfRule type="expression" dxfId="253" priority="698">
      <formula>AND(Início_da_tarefa&lt;=T$4,ROUNDDOWN((Término_da_tarefa-Início_da_tarefa+1)*Progresso_da_tarefa,0)+Início_da_tarefa-1&gt;=T$4)</formula>
    </cfRule>
  </conditionalFormatting>
  <conditionalFormatting sqref="T44:T54">
    <cfRule type="expression" dxfId="252" priority="690">
      <formula>AND(TODAY()&gt;=T$4,TODAY()&lt;W$5)</formula>
    </cfRule>
    <cfRule type="expression" dxfId="251" priority="691" stopIfTrue="1">
      <formula>AND(Término_da_tarefa&gt;=T$4,Início_da_tarefa&lt;W$5)</formula>
    </cfRule>
    <cfRule type="expression" dxfId="250" priority="692">
      <formula>AND(Início_da_tarefa&lt;=T$4,ROUNDDOWN((Término_da_tarefa-Início_da_tarefa+1)*Progresso_da_tarefa,0)+Início_da_tarefa-1&gt;=T$4)</formula>
    </cfRule>
  </conditionalFormatting>
  <conditionalFormatting sqref="T56:T66">
    <cfRule type="expression" dxfId="249" priority="80">
      <formula>AND(TODAY()&gt;=T$4,TODAY()&lt;W$5)</formula>
    </cfRule>
    <cfRule type="expression" dxfId="248" priority="81" stopIfTrue="1">
      <formula>AND(Término_da_tarefa&gt;=T$4,Início_da_tarefa&lt;W$5)</formula>
    </cfRule>
    <cfRule type="expression" dxfId="247" priority="82">
      <formula>AND(Início_da_tarefa&lt;=T$4,ROUNDDOWN((Término_da_tarefa-Início_da_tarefa+1)*Progresso_da_tarefa,0)+Início_da_tarefa-1&gt;=T$4)</formula>
    </cfRule>
  </conditionalFormatting>
  <conditionalFormatting sqref="T68:T78">
    <cfRule type="expression" dxfId="246" priority="62">
      <formula>AND(TODAY()&gt;=T$4,TODAY()&lt;W$5)</formula>
    </cfRule>
    <cfRule type="expression" dxfId="245" priority="63" stopIfTrue="1">
      <formula>AND(Término_da_tarefa&gt;=T$4,Início_da_tarefa&lt;W$5)</formula>
    </cfRule>
    <cfRule type="expression" dxfId="244" priority="64">
      <formula>AND(Início_da_tarefa&lt;=T$4,ROUNDDOWN((Término_da_tarefa-Início_da_tarefa+1)*Progresso_da_tarefa,0)+Início_da_tarefa-1&gt;=T$4)</formula>
    </cfRule>
  </conditionalFormatting>
  <conditionalFormatting sqref="T80">
    <cfRule type="expression" dxfId="243" priority="684">
      <formula>AND(TODAY()&gt;=T$4,TODAY()&lt;W$5)</formula>
    </cfRule>
    <cfRule type="expression" dxfId="242" priority="685" stopIfTrue="1">
      <formula>AND(Término_da_tarefa&gt;=T$4,Início_da_tarefa&lt;W$5)</formula>
    </cfRule>
    <cfRule type="expression" dxfId="241" priority="686">
      <formula>AND(Início_da_tarefa&lt;=T$4,ROUNDDOWN((Término_da_tarefa-Início_da_tarefa+1)*Progresso_da_tarefa,0)+Início_da_tarefa-1&gt;=T$4)</formula>
    </cfRule>
  </conditionalFormatting>
  <conditionalFormatting sqref="T83">
    <cfRule type="expression" dxfId="240" priority="103">
      <formula>AND(TODAY()&gt;=T$4,TODAY()&lt;W$5)</formula>
    </cfRule>
    <cfRule type="expression" dxfId="239" priority="104" stopIfTrue="1">
      <formula>AND(Término_da_tarefa&gt;=T$4,Início_da_tarefa&lt;W$5)</formula>
    </cfRule>
    <cfRule type="expression" dxfId="238" priority="105">
      <formula>AND(Início_da_tarefa&lt;=T$4,ROUNDDOWN((Término_da_tarefa-Início_da_tarefa+1)*Progresso_da_tarefa,0)+Início_da_tarefa-1&gt;=T$4)</formula>
    </cfRule>
  </conditionalFormatting>
  <conditionalFormatting sqref="T104:T105">
    <cfRule type="expression" dxfId="237" priority="197" stopIfTrue="1">
      <formula>AND(Término_da_tarefa&gt;=T$4,Início_da_tarefa&lt;W$5)</formula>
    </cfRule>
    <cfRule type="expression" dxfId="236" priority="198">
      <formula>AND(Início_da_tarefa&lt;=T$4,ROUNDDOWN((Término_da_tarefa-Início_da_tarefa+1)*Progresso_da_tarefa,0)+Início_da_tarefa-1&gt;=T$4)</formula>
    </cfRule>
  </conditionalFormatting>
  <conditionalFormatting sqref="T126">
    <cfRule type="expression" dxfId="235" priority="58" stopIfTrue="1">
      <formula>AND(Término_da_tarefa&gt;=T$4,Início_da_tarefa&lt;W$5)</formula>
    </cfRule>
    <cfRule type="expression" dxfId="234" priority="59">
      <formula>AND(Início_da_tarefa&lt;=T$4,ROUNDDOWN((Término_da_tarefa-Início_da_tarefa+1)*Progresso_da_tarefa,0)+Início_da_tarefa-1&gt;=T$4)</formula>
    </cfRule>
  </conditionalFormatting>
  <conditionalFormatting sqref="T126:T127">
    <cfRule type="expression" dxfId="233" priority="60">
      <formula>AND(TODAY()&gt;=T$4,TODAY()&lt;W$5)</formula>
    </cfRule>
  </conditionalFormatting>
  <conditionalFormatting sqref="T128">
    <cfRule type="expression" dxfId="232" priority="48" stopIfTrue="1">
      <formula>AND(Término_da_tarefa&gt;=T$4,Início_da_tarefa&lt;W$5)</formula>
    </cfRule>
    <cfRule type="expression" dxfId="231" priority="49">
      <formula>AND(Início_da_tarefa&lt;=T$4,ROUNDDOWN((Término_da_tarefa-Início_da_tarefa+1)*Progresso_da_tarefa,0)+Início_da_tarefa-1&gt;=T$4)</formula>
    </cfRule>
  </conditionalFormatting>
  <conditionalFormatting sqref="T128:T129">
    <cfRule type="expression" dxfId="230" priority="50">
      <formula>AND(TODAY()&gt;=T$4,TODAY()&lt;W$5)</formula>
    </cfRule>
  </conditionalFormatting>
  <conditionalFormatting sqref="T129:T132">
    <cfRule type="expression" dxfId="229" priority="324" stopIfTrue="1">
      <formula>AND(Término_da_tarefa&gt;=T$4,Início_da_tarefa&lt;W$5)</formula>
    </cfRule>
    <cfRule type="expression" dxfId="228" priority="325">
      <formula>AND(Início_da_tarefa&lt;=T$4,ROUNDDOWN((Término_da_tarefa-Início_da_tarefa+1)*Progresso_da_tarefa,0)+Início_da_tarefa-1&gt;=T$4)</formula>
    </cfRule>
  </conditionalFormatting>
  <conditionalFormatting sqref="T130 W8:AD10 T4:V4 AR4 T7 X11:Z18 Y19:AC19 W19:X30 X32:X42 X79:Z79 X80">
    <cfRule type="expression" dxfId="227" priority="389">
      <formula>AND(TODAY()&gt;=T$4,TODAY()&lt;W$5)</formula>
    </cfRule>
  </conditionalFormatting>
  <conditionalFormatting sqref="T131">
    <cfRule type="expression" dxfId="226" priority="323">
      <formula>AND(TODAY()&gt;=T$4,TODAY()&lt;W$5)</formula>
    </cfRule>
  </conditionalFormatting>
  <conditionalFormatting sqref="T132:T136 T104">
    <cfRule type="expression" dxfId="225" priority="378">
      <formula>AND(TODAY()&gt;=T$4,TODAY()&lt;W$5)</formula>
    </cfRule>
  </conditionalFormatting>
  <conditionalFormatting sqref="T137">
    <cfRule type="expression" dxfId="224" priority="265">
      <formula>AND(TODAY()&gt;=T$4,TODAY()&lt;W$5)</formula>
    </cfRule>
  </conditionalFormatting>
  <conditionalFormatting sqref="T6:V6 BL6:BM6">
    <cfRule type="expression" dxfId="223" priority="910">
      <formula>AND(TODAY()&gt;=T$5,TODAY()&lt;W$5)</formula>
    </cfRule>
  </conditionalFormatting>
  <conditionalFormatting sqref="T8:V55">
    <cfRule type="expression" dxfId="222" priority="98">
      <formula>AND(TODAY()&gt;=T$4,TODAY()&lt;W$5)</formula>
    </cfRule>
  </conditionalFormatting>
  <conditionalFormatting sqref="T12:V19 W19:AC19 T20:T30 T127:V127 T133:V133 T135:V135 T137:V137 X131 T129:V129 T131:V131 X133 X135 X137 X127 X129">
    <cfRule type="expression" dxfId="221" priority="702">
      <formula>AND(TODAY()&gt;=T$4,TODAY()&lt;W$5)</formula>
    </cfRule>
  </conditionalFormatting>
  <conditionalFormatting sqref="T12:V19 W19:AC19 T20:T30 T127:V127 X127 T129:V129 X129 T131:V131 X131 T133:V133 X133 T135:V135 X135 T137:V137 X137">
    <cfRule type="expression" dxfId="220" priority="703" stopIfTrue="1">
      <formula>AND(Término_da_tarefa&gt;=T$4,Início_da_tarefa&lt;W$5)</formula>
    </cfRule>
    <cfRule type="expression" dxfId="219" priority="704">
      <formula>AND(Início_da_tarefa&lt;=T$4,ROUNDDOWN((Término_da_tarefa-Início_da_tarefa+1)*Progresso_da_tarefa,0)+Início_da_tarefa-1&gt;=T$4)</formula>
    </cfRule>
  </conditionalFormatting>
  <conditionalFormatting sqref="T31:V31">
    <cfRule type="expression" dxfId="218" priority="335" stopIfTrue="1">
      <formula>AND(Término_da_tarefa&gt;=T$4,Início_da_tarefa&lt;W$5)</formula>
    </cfRule>
    <cfRule type="expression" dxfId="217" priority="336">
      <formula>AND(Início_da_tarefa&lt;=T$4,ROUNDDOWN((Término_da_tarefa-Início_da_tarefa+1)*Progresso_da_tarefa,0)+Início_da_tarefa-1&gt;=T$4)</formula>
    </cfRule>
  </conditionalFormatting>
  <conditionalFormatting sqref="T43:V43 T79:V79">
    <cfRule type="expression" dxfId="216" priority="917">
      <formula>AND(TODAY()&gt;=T$4,TODAY()&lt;W$5)</formula>
    </cfRule>
    <cfRule type="expression" dxfId="215" priority="918" stopIfTrue="1">
      <formula>AND(Término_da_tarefa&gt;=T$4,Início_da_tarefa&lt;W$5)</formula>
    </cfRule>
  </conditionalFormatting>
  <conditionalFormatting sqref="T55:V82 X56:X66">
    <cfRule type="expression" dxfId="214" priority="88" stopIfTrue="1">
      <formula>AND(Término_da_tarefa&gt;=T$4,Início_da_tarefa&lt;W$5)</formula>
    </cfRule>
  </conditionalFormatting>
  <conditionalFormatting sqref="T56:V66 X56:X66">
    <cfRule type="expression" dxfId="213" priority="89">
      <formula>AND(Início_da_tarefa&lt;=T$4,ROUNDDOWN((Término_da_tarefa-Início_da_tarefa+1)*Progresso_da_tarefa,0)+Início_da_tarefa-1&gt;=T$4)</formula>
    </cfRule>
  </conditionalFormatting>
  <conditionalFormatting sqref="T67:V82">
    <cfRule type="expression" dxfId="212" priority="78">
      <formula>AND(TODAY()&gt;=T$4,TODAY()&lt;W$5)</formula>
    </cfRule>
  </conditionalFormatting>
  <conditionalFormatting sqref="T82:V82">
    <cfRule type="expression" dxfId="211" priority="107">
      <formula>AND(Início_da_tarefa&lt;=T$4,ROUNDDOWN((Término_da_tarefa-Início_da_tarefa+1)*Progresso_da_tarefa,0)+Início_da_tarefa-1&gt;=T$4)</formula>
    </cfRule>
  </conditionalFormatting>
  <conditionalFormatting sqref="T83:V83 X83">
    <cfRule type="expression" dxfId="210" priority="113" stopIfTrue="1">
      <formula>AND(Término_da_tarefa&gt;=T$4,Início_da_tarefa&lt;W$5)</formula>
    </cfRule>
    <cfRule type="expression" dxfId="209" priority="114">
      <formula>AND(Início_da_tarefa&lt;=T$4,ROUNDDOWN((Término_da_tarefa-Início_da_tarefa+1)*Progresso_da_tarefa,0)+Início_da_tarefa-1&gt;=T$4)</formula>
    </cfRule>
  </conditionalFormatting>
  <conditionalFormatting sqref="T84:V103 T105:V125 X31:AD31 X43:Z54 X105:X125">
    <cfRule type="expression" dxfId="208" priority="151">
      <formula>AND(TODAY()&gt;=T$4,TODAY()&lt;W$5)</formula>
    </cfRule>
  </conditionalFormatting>
  <conditionalFormatting sqref="U88:V88 AW7:AX13 AX16:AY16 AW15:AX25 AX28:AY28 AX40:AY40 AW39:AX49 AX52:AY52 AX64:AY64 AT49:AW49 AV51:AW51 AW51:AX61 AS23:AT24 AS26:AT33 AV25 AW27:AX37 AT61:AV61 AX76:AY76 AW63:AX73 AT73:AV73 AW75:AX97">
    <cfRule type="expression" dxfId="207" priority="176">
      <formula>AND(TODAY()&gt;=U$5,TODAY()&lt;W$5)</formula>
    </cfRule>
  </conditionalFormatting>
  <conditionalFormatting sqref="U96:V96">
    <cfRule type="expression" dxfId="206" priority="150">
      <formula>AND(TODAY()&gt;=U$5,TODAY()&lt;W$5)</formula>
    </cfRule>
  </conditionalFormatting>
  <conditionalFormatting sqref="U110:V110">
    <cfRule type="expression" dxfId="205" priority="127">
      <formula>AND(TODAY()&gt;=U$5,TODAY()&lt;W$5)</formula>
    </cfRule>
  </conditionalFormatting>
  <conditionalFormatting sqref="U134:V134 U136:V136">
    <cfRule type="expression" dxfId="204" priority="1023">
      <formula>AND(TODAY()&gt;=U$5,TODAY()&lt;W$5)</formula>
    </cfRule>
  </conditionalFormatting>
  <conditionalFormatting sqref="U84:W84 Y55:Z78 AC55:AD78 AG55:AH56 Y80:Z137 AC80:AD137 AG81:AH137 AS84:AT95 AO84:AP137 BI86:BJ105 AK88:AL137 AV98:AX125 AU104:AU105 BM105:BN125 AS106:AT137 BI108:BJ133 AS79:AT82 AK80:AL81 AG31 AS98:AU103 AO7:AP8 AR10:AR12 AO12:AP20 AO10:AQ11 AW7:AX13 AX16:AY16 AR22:AR24 AO24:AP32 AO22:AQ23 AW15:AX25 AX28:AY28 AR34:AR36 AO36:AP44 AO34:AQ35 AX40:AY40 AR46:AR48 AO46:AQ47 AW39:AX49 AX52:AY52 AK7:AL54 AG67:AH68 AR58:AR60 AO58:AQ59 AX64:AY64 AK57:AL66 BD23 BH23 BL23 BN23:BO23 BI106:BL109 AO60:AP66 AT49:AW49 AV51:AW51 AW51:AX61 AZ53:BA53 AY54:BA54 AS7:AT24 AS26:AT55 AV25 AZ30 AW27:AX37 AO48:AP54 AT61:AV61 AZ65:BA65 AY66:BA66 AR70:AR72 AO70:AQ71 AX76:AY76 AK69:AL78 BM7:BN103 BE7:BF125 BI7:BJ83 AO72:AP81 AW63:AX73 BA7:BB125 AT73:AV73 AW75:AX95 AZ77:BA77 AY78:BA78">
    <cfRule type="expression" dxfId="203" priority="134" stopIfTrue="1">
      <formula>AND(Término_da_tarefa&gt;=U$5,Início_da_tarefa&lt;W$5)</formula>
    </cfRule>
  </conditionalFormatting>
  <conditionalFormatting sqref="U86:W86 AK84:AM95 BI84:BL95 AW110:AX111 AW134:AX137 BE134:BF137">
    <cfRule type="expression" dxfId="202" priority="189" stopIfTrue="1">
      <formula>AND(Término_da_tarefa&gt;=U$5,Início_da_tarefa&lt;W$5)</formula>
    </cfRule>
  </conditionalFormatting>
  <conditionalFormatting sqref="U88:W88">
    <cfRule type="expression" dxfId="201" priority="173" stopIfTrue="1">
      <formula>AND(Término_da_tarefa&gt;=U$5,Início_da_tarefa&lt;W$5)</formula>
    </cfRule>
  </conditionalFormatting>
  <conditionalFormatting sqref="U96:W96">
    <cfRule type="expression" dxfId="200" priority="147" stopIfTrue="1">
      <formula>AND(Término_da_tarefa&gt;=U$5,Início_da_tarefa&lt;W$5)</formula>
    </cfRule>
  </conditionalFormatting>
  <conditionalFormatting sqref="U104:W104 U126:W126 U128:W128 U130:W130 U132:W132">
    <cfRule type="expression" dxfId="199" priority="421" stopIfTrue="1">
      <formula>AND(Término_da_tarefa&gt;=U$5,Início_da_tarefa&lt;W$5)</formula>
    </cfRule>
  </conditionalFormatting>
  <conditionalFormatting sqref="U110:W110">
    <cfRule type="expression" dxfId="198" priority="124" stopIfTrue="1">
      <formula>AND(Término_da_tarefa&gt;=U$5,Início_da_tarefa&lt;W$5)</formula>
    </cfRule>
  </conditionalFormatting>
  <conditionalFormatting sqref="U136:W136">
    <cfRule type="expression" dxfId="197" priority="281" stopIfTrue="1">
      <formula>AND(Término_da_tarefa&gt;=U$5,Início_da_tarefa&lt;W$5)</formula>
    </cfRule>
  </conditionalFormatting>
  <conditionalFormatting sqref="U88:AM88 AR88:BN88 W13:BO18 AF49:BC53 AF54:BA54 AF25:AQ25 AV25:BC25 AF26:AT26 AX26:BC26 AF27:BC30 AF61:BC63 AF64:AX64 BA64:BC64 AF65:BC66">
    <cfRule type="expression" dxfId="196" priority="170">
      <formula>AND(Início_da_tarefa&lt;=U$5,ROUNDDOWN((Término_da_tarefa-Início_da_tarefa+1)*Progresso_da_tarefa,0)+Início_da_tarefa-1&gt;=U$5)</formula>
    </cfRule>
  </conditionalFormatting>
  <conditionalFormatting sqref="U96:AM96 AR96:BN96">
    <cfRule type="expression" dxfId="195" priority="144">
      <formula>AND(Início_da_tarefa&lt;=U$5,ROUNDDOWN((Término_da_tarefa-Início_da_tarefa+1)*Progresso_da_tarefa,0)+Início_da_tarefa-1&gt;=U$5)</formula>
    </cfRule>
  </conditionalFormatting>
  <conditionalFormatting sqref="U110:AM110 AR110:BN110">
    <cfRule type="expression" dxfId="194" priority="121">
      <formula>AND(Início_da_tarefa&lt;=U$5,ROUNDDOWN((Término_da_tarefa-Início_da_tarefa+1)*Progresso_da_tarefa,0)+Início_da_tarefa-1&gt;=U$5)</formula>
    </cfRule>
  </conditionalFormatting>
  <conditionalFormatting sqref="U134:AM134 AR134:BN134">
    <cfRule type="expression" dxfId="193" priority="301">
      <formula>AND(Início_da_tarefa&lt;=U$5,ROUNDDOWN((Término_da_tarefa-Início_da_tarefa+1)*Progresso_da_tarefa,0)+Início_da_tarefa-1&gt;=U$5)</formula>
    </cfRule>
  </conditionalFormatting>
  <conditionalFormatting sqref="W11:W18 W31:W54 W79:W80">
    <cfRule type="expression" dxfId="192" priority="817" stopIfTrue="1">
      <formula>AND(Término_da_tarefa&gt;=W$4,Início_da_tarefa&lt;Y$5)</formula>
    </cfRule>
    <cfRule type="expression" dxfId="191" priority="819">
      <formula>AND(Início_da_tarefa&lt;=W$4,ROUNDDOWN((Término_da_tarefa-Início_da_tarefa+1)*Progresso_da_tarefa,0)+Início_da_tarefa-1&gt;=W$4)</formula>
    </cfRule>
  </conditionalFormatting>
  <conditionalFormatting sqref="W11:W18 W79:W80 W31:W54">
    <cfRule type="expression" dxfId="190" priority="813">
      <formula>AND(TODAY()&gt;=W$4,TODAY()&lt;Y$5)</formula>
    </cfRule>
  </conditionalFormatting>
  <conditionalFormatting sqref="W56:W66">
    <cfRule type="expression" dxfId="189" priority="90">
      <formula>AND(TODAY()&gt;=W$4,TODAY()&lt;Y$5)</formula>
    </cfRule>
    <cfRule type="expression" dxfId="188" priority="91" stopIfTrue="1">
      <formula>AND(Término_da_tarefa&gt;=W$4,Início_da_tarefa&lt;Y$5)</formula>
    </cfRule>
    <cfRule type="expression" dxfId="187" priority="92">
      <formula>AND(Início_da_tarefa&lt;=W$4,ROUNDDOWN((Término_da_tarefa-Início_da_tarefa+1)*Progresso_da_tarefa,0)+Início_da_tarefa-1&gt;=W$4)</formula>
    </cfRule>
  </conditionalFormatting>
  <conditionalFormatting sqref="W68:W78">
    <cfRule type="expression" dxfId="186" priority="72">
      <formula>AND(TODAY()&gt;=W$4,TODAY()&lt;Y$5)</formula>
    </cfRule>
    <cfRule type="expression" dxfId="185" priority="73" stopIfTrue="1">
      <formula>AND(Término_da_tarefa&gt;=W$4,Início_da_tarefa&lt;Y$5)</formula>
    </cfRule>
    <cfRule type="expression" dxfId="184" priority="74">
      <formula>AND(Início_da_tarefa&lt;=W$4,ROUNDDOWN((Término_da_tarefa-Início_da_tarefa+1)*Progresso_da_tarefa,0)+Início_da_tarefa-1&gt;=W$4)</formula>
    </cfRule>
  </conditionalFormatting>
  <conditionalFormatting sqref="W83">
    <cfRule type="expression" dxfId="183" priority="115">
      <formula>AND(TODAY()&gt;=W$4,TODAY()&lt;Y$5)</formula>
    </cfRule>
    <cfRule type="expression" dxfId="182" priority="116" stopIfTrue="1">
      <formula>AND(Término_da_tarefa&gt;=W$4,Início_da_tarefa&lt;Y$5)</formula>
    </cfRule>
    <cfRule type="expression" dxfId="181" priority="117">
      <formula>AND(Início_da_tarefa&lt;=W$4,ROUNDDOWN((Término_da_tarefa-Início_da_tarefa+1)*Progresso_da_tarefa,0)+Início_da_tarefa-1&gt;=W$4)</formula>
    </cfRule>
  </conditionalFormatting>
  <conditionalFormatting sqref="W84">
    <cfRule type="expression" dxfId="180" priority="133">
      <formula>AND(TODAY()&gt;=W$5,TODAY()&lt;Y$5)</formula>
    </cfRule>
  </conditionalFormatting>
  <conditionalFormatting sqref="W84:W103 W105:W125 W127 W129 W131 W133 W135 W137">
    <cfRule type="expression" dxfId="179" priority="738" stopIfTrue="1">
      <formula>AND(Término_da_tarefa&gt;=W$4,Início_da_tarefa&lt;Y$5)</formula>
    </cfRule>
    <cfRule type="expression" dxfId="178" priority="739">
      <formula>AND(Início_da_tarefa&lt;=W$4,ROUNDDOWN((Término_da_tarefa-Início_da_tarefa+1)*Progresso_da_tarefa,0)+Início_da_tarefa-1&gt;=W$4)</formula>
    </cfRule>
  </conditionalFormatting>
  <conditionalFormatting sqref="W86">
    <cfRule type="expression" dxfId="177" priority="188">
      <formula>AND(TODAY()&gt;=W$5,TODAY()&lt;Y$5)</formula>
    </cfRule>
  </conditionalFormatting>
  <conditionalFormatting sqref="W88">
    <cfRule type="expression" dxfId="176" priority="172">
      <formula>AND(TODAY()&gt;=W$5,TODAY()&lt;Y$5)</formula>
    </cfRule>
  </conditionalFormatting>
  <conditionalFormatting sqref="W96">
    <cfRule type="expression" dxfId="175" priority="146">
      <formula>AND(TODAY()&gt;=W$5,TODAY()&lt;Y$5)</formula>
    </cfRule>
  </conditionalFormatting>
  <conditionalFormatting sqref="W110">
    <cfRule type="expression" dxfId="174" priority="123">
      <formula>AND(TODAY()&gt;=W$5,TODAY()&lt;Y$5)</formula>
    </cfRule>
  </conditionalFormatting>
  <conditionalFormatting sqref="W135 W137 W84:W103 W105:W125 W127 W129 W131 W133">
    <cfRule type="expression" dxfId="173" priority="737">
      <formula>AND(TODAY()&gt;=W$4,TODAY()&lt;Y$5)</formula>
    </cfRule>
  </conditionalFormatting>
  <conditionalFormatting sqref="W136">
    <cfRule type="expression" dxfId="172" priority="280">
      <formula>AND(TODAY()&gt;=W$5,TODAY()&lt;Y$5)</formula>
    </cfRule>
  </conditionalFormatting>
  <conditionalFormatting sqref="W56:AE66">
    <cfRule type="expression" dxfId="171" priority="85">
      <formula>AND(Início_da_tarefa&lt;=W$5,ROUNDDOWN((Término_da_tarefa-Início_da_tarefa+1)*Progresso_da_tarefa,0)+Início_da_tarefa-1&gt;=W$5)</formula>
    </cfRule>
  </conditionalFormatting>
  <conditionalFormatting sqref="W68:AE78">
    <cfRule type="expression" dxfId="170" priority="67">
      <formula>AND(Início_da_tarefa&lt;=W$5,ROUNDDOWN((Término_da_tarefa-Início_da_tarefa+1)*Progresso_da_tarefa,0)+Início_da_tarefa-1&gt;=W$5)</formula>
    </cfRule>
  </conditionalFormatting>
  <conditionalFormatting sqref="W83:AE97">
    <cfRule type="expression" dxfId="169" priority="110">
      <formula>AND(Início_da_tarefa&lt;=W$5,ROUNDDOWN((Término_da_tarefa-Início_da_tarefa+1)*Progresso_da_tarefa,0)+Início_da_tarefa-1&gt;=W$5)</formula>
    </cfRule>
  </conditionalFormatting>
  <conditionalFormatting sqref="W127:AE127 AG127:AM127 BI127:BO127">
    <cfRule type="expression" dxfId="168" priority="55">
      <formula>AND(Início_da_tarefa&lt;=W$5,ROUNDDOWN((Término_da_tarefa-Início_da_tarefa+1)*Progresso_da_tarefa,0)+Início_da_tarefa-1&gt;=W$5)</formula>
    </cfRule>
  </conditionalFormatting>
  <conditionalFormatting sqref="W129:AE129 AR126:BH129 AG129:AM129 BI129:BO129">
    <cfRule type="expression" dxfId="167" priority="45">
      <formula>AND(Início_da_tarefa&lt;=W$5,ROUNDDOWN((Término_da_tarefa-Início_da_tarefa+1)*Progresso_da_tarefa,0)+Início_da_tarefa-1&gt;=W$5)</formula>
    </cfRule>
  </conditionalFormatting>
  <conditionalFormatting sqref="W131:AE131 BH131:BO131 AR130:BG131 AG131:AM131">
    <cfRule type="expression" dxfId="166" priority="331">
      <formula>AND(Início_da_tarefa&lt;=W$5,ROUNDDOWN((Término_da_tarefa-Início_da_tarefa+1)*Progresso_da_tarefa,0)+Início_da_tarefa-1&gt;=W$5)</formula>
    </cfRule>
  </conditionalFormatting>
  <conditionalFormatting sqref="W133:AE133 AR132:BH133 AG133:AM133 BI133:BO133">
    <cfRule type="expression" dxfId="165" priority="320">
      <formula>AND(Início_da_tarefa&lt;=W$5,ROUNDDOWN((Término_da_tarefa-Início_da_tarefa+1)*Progresso_da_tarefa,0)+Início_da_tarefa-1&gt;=W$5)</formula>
    </cfRule>
  </conditionalFormatting>
  <conditionalFormatting sqref="W135:AE135 AG135:AM135 AR135:BO135">
    <cfRule type="expression" dxfId="164" priority="296">
      <formula>AND(Início_da_tarefa&lt;=W$5,ROUNDDOWN((Término_da_tarefa-Início_da_tarefa+1)*Progresso_da_tarefa,0)+Início_da_tarefa-1&gt;=W$5)</formula>
    </cfRule>
  </conditionalFormatting>
  <conditionalFormatting sqref="W137:AE137 AG137:AM137 AR137:BO137">
    <cfRule type="expression" dxfId="163" priority="273">
      <formula>AND(Início_da_tarefa&lt;=W$5,ROUNDDOWN((Término_da_tarefa-Início_da_tarefa+1)*Progresso_da_tarefa,0)+Início_da_tarefa-1&gt;=W$5)</formula>
    </cfRule>
  </conditionalFormatting>
  <conditionalFormatting sqref="W79:BO80 Z8:AG9 Y12:BO12 W43:AD54 U7:AG7 AD19:AG19 Y20:AG20 AH7:BO8 AH19:BO20 W67:BO67 AE43:AG43 AE44:AE54 AG44 AR9:BO11 AH9:AQ9 W11:AQ11 Z10:AQ10 W31:BC32 Y21:AE30 AH43:BO44 W33:AE42 BD21:BO26 AF33:BO36 AF21:BC24 AF45:BO48">
    <cfRule type="expression" dxfId="162" priority="791">
      <formula>AND(Início_da_tarefa&lt;=U$5,ROUNDDOWN((Término_da_tarefa-Início_da_tarefa+1)*Progresso_da_tarefa,0)+Início_da_tarefa-1&gt;=U$5)</formula>
    </cfRule>
  </conditionalFormatting>
  <conditionalFormatting sqref="W81:BO82">
    <cfRule type="expression" dxfId="161" priority="101">
      <formula>AND(Início_da_tarefa&lt;=W$5,ROUNDDOWN((Término_da_tarefa-Início_da_tarefa+1)*Progresso_da_tarefa,0)+Início_da_tarefa-1&gt;=W$5)</formula>
    </cfRule>
  </conditionalFormatting>
  <conditionalFormatting sqref="X56:X66 T56:V66">
    <cfRule type="expression" dxfId="160" priority="87">
      <formula>AND(TODAY()&gt;=T$4,TODAY()&lt;W$5)</formula>
    </cfRule>
  </conditionalFormatting>
  <conditionalFormatting sqref="X56:X66">
    <cfRule type="expression" dxfId="159" priority="83">
      <formula>AND(TODAY()&gt;=X$5,TODAY()&lt;AA$5)</formula>
    </cfRule>
    <cfRule type="expression" dxfId="158" priority="84" stopIfTrue="1">
      <formula>AND(Término_da_tarefa&gt;=X$5,Início_da_tarefa&lt;AA$5)</formula>
    </cfRule>
  </conditionalFormatting>
  <conditionalFormatting sqref="X68:X78">
    <cfRule type="expression" dxfId="157" priority="65">
      <formula>AND(TODAY()&gt;=X$5,TODAY()&lt;AA$5)</formula>
    </cfRule>
    <cfRule type="expression" dxfId="156" priority="66" stopIfTrue="1">
      <formula>AND(Término_da_tarefa&gt;=X$5,Início_da_tarefa&lt;AA$5)</formula>
    </cfRule>
    <cfRule type="expression" dxfId="155" priority="69">
      <formula>AND(TODAY()&gt;=X$4,TODAY()&lt;AA$5)</formula>
    </cfRule>
    <cfRule type="expression" dxfId="154" priority="70" stopIfTrue="1">
      <formula>AND(Término_da_tarefa&gt;=X$4,Início_da_tarefa&lt;AA$5)</formula>
    </cfRule>
    <cfRule type="expression" dxfId="153" priority="71">
      <formula>AND(Início_da_tarefa&lt;=X$4,ROUNDDOWN((Término_da_tarefa-Início_da_tarefa+1)*Progresso_da_tarefa,0)+Início_da_tarefa-1&gt;=X$4)</formula>
    </cfRule>
  </conditionalFormatting>
  <conditionalFormatting sqref="X80 X84:X103 X105:X125">
    <cfRule type="expression" dxfId="152" priority="688" stopIfTrue="1">
      <formula>AND(Término_da_tarefa&gt;=X$5,Início_da_tarefa&lt;AA$5)</formula>
    </cfRule>
  </conditionalFormatting>
  <conditionalFormatting sqref="X80">
    <cfRule type="expression" dxfId="151" priority="687">
      <formula>AND(TODAY()&gt;=X$5,TODAY()&lt;AA$5)</formula>
    </cfRule>
  </conditionalFormatting>
  <conditionalFormatting sqref="X82 X105:X125">
    <cfRule type="expression" dxfId="150" priority="118">
      <formula>AND(TODAY()&gt;=X$5,TODAY()&lt;AA$5)</formula>
    </cfRule>
  </conditionalFormatting>
  <conditionalFormatting sqref="X82:X83">
    <cfRule type="expression" dxfId="149" priority="109" stopIfTrue="1">
      <formula>AND(Término_da_tarefa&gt;=X$5,Início_da_tarefa&lt;AA$5)</formula>
    </cfRule>
  </conditionalFormatting>
  <conditionalFormatting sqref="X83:X103 T83:V83">
    <cfRule type="expression" dxfId="148" priority="112">
      <formula>AND(TODAY()&gt;=T$4,TODAY()&lt;W$5)</formula>
    </cfRule>
  </conditionalFormatting>
  <conditionalFormatting sqref="X83:X103">
    <cfRule type="expression" dxfId="147" priority="108">
      <formula>AND(TODAY()&gt;=X$5,TODAY()&lt;AA$5)</formula>
    </cfRule>
  </conditionalFormatting>
  <conditionalFormatting sqref="X106:X109 X43:Z54">
    <cfRule type="expression" dxfId="146" priority="846">
      <formula>AND(TODAY()&gt;=X$5,TODAY()&lt;AA$5)</formula>
    </cfRule>
  </conditionalFormatting>
  <conditionalFormatting sqref="X111:X125 X97">
    <cfRule type="expression" dxfId="145" priority="180" stopIfTrue="1">
      <formula>AND(Término_da_tarefa&gt;=X$5,Início_da_tarefa&lt;AA$5)</formula>
    </cfRule>
  </conditionalFormatting>
  <conditionalFormatting sqref="X127">
    <cfRule type="expression" dxfId="144" priority="53">
      <formula>AND(TODAY()&gt;=X$5,TODAY()&lt;AA$5)</formula>
    </cfRule>
    <cfRule type="expression" dxfId="143" priority="54" stopIfTrue="1">
      <formula>AND(Término_da_tarefa&gt;=X$5,Início_da_tarefa&lt;AA$5)</formula>
    </cfRule>
  </conditionalFormatting>
  <conditionalFormatting sqref="X129">
    <cfRule type="expression" dxfId="142" priority="43">
      <formula>AND(TODAY()&gt;=X$5,TODAY()&lt;AA$5)</formula>
    </cfRule>
    <cfRule type="expression" dxfId="141" priority="44" stopIfTrue="1">
      <formula>AND(Término_da_tarefa&gt;=X$5,Início_da_tarefa&lt;AA$5)</formula>
    </cfRule>
  </conditionalFormatting>
  <conditionalFormatting sqref="X131">
    <cfRule type="expression" dxfId="140" priority="326">
      <formula>AND(TODAY()&gt;=X$5,TODAY()&lt;AA$5)</formula>
    </cfRule>
    <cfRule type="expression" dxfId="139" priority="327" stopIfTrue="1">
      <formula>AND(Término_da_tarefa&gt;=X$5,Início_da_tarefa&lt;AA$5)</formula>
    </cfRule>
  </conditionalFormatting>
  <conditionalFormatting sqref="X133">
    <cfRule type="expression" dxfId="138" priority="315">
      <formula>AND(TODAY()&gt;=X$5,TODAY()&lt;AA$5)</formula>
    </cfRule>
    <cfRule type="expression" dxfId="137" priority="316" stopIfTrue="1">
      <formula>AND(Término_da_tarefa&gt;=X$5,Início_da_tarefa&lt;AA$5)</formula>
    </cfRule>
  </conditionalFormatting>
  <conditionalFormatting sqref="X135">
    <cfRule type="expression" dxfId="136" priority="291">
      <formula>AND(TODAY()&gt;=X$5,TODAY()&lt;AA$5)</formula>
    </cfRule>
    <cfRule type="expression" dxfId="135" priority="292" stopIfTrue="1">
      <formula>AND(Término_da_tarefa&gt;=X$5,Início_da_tarefa&lt;AA$5)</formula>
    </cfRule>
  </conditionalFormatting>
  <conditionalFormatting sqref="X137">
    <cfRule type="expression" dxfId="134" priority="268">
      <formula>AND(TODAY()&gt;=X$5,TODAY()&lt;AA$5)</formula>
    </cfRule>
    <cfRule type="expression" dxfId="133" priority="269" stopIfTrue="1">
      <formula>AND(Término_da_tarefa&gt;=X$5,Início_da_tarefa&lt;AA$5)</formula>
    </cfRule>
  </conditionalFormatting>
  <conditionalFormatting sqref="X13:Z18 X31:AD31 X32:X42 X79:Z79">
    <cfRule type="expression" dxfId="132" priority="699">
      <formula>AND(TODAY()&gt;=X$5,TODAY()&lt;AA$5)</formula>
    </cfRule>
  </conditionalFormatting>
  <conditionalFormatting sqref="X13:Z18 AA31:AD31 X32:X42 X79:Z79">
    <cfRule type="expression" dxfId="131" priority="700" stopIfTrue="1">
      <formula>AND(Término_da_tarefa&gt;=X$5,Início_da_tarefa&lt;AA$5)</formula>
    </cfRule>
  </conditionalFormatting>
  <conditionalFormatting sqref="X43:Z54 X106:X109 X31:Z31">
    <cfRule type="expression" dxfId="130" priority="847" stopIfTrue="1">
      <formula>AND(Término_da_tarefa&gt;=X$5,Início_da_tarefa&lt;AA$5)</formula>
    </cfRule>
  </conditionalFormatting>
  <conditionalFormatting sqref="Y32:AE42 BI84:BL84 BI86:BL86 BI88:BL88 BI96:BL96 BL96:BL97 BI97:BK97 BM97:BN97 BI110:BL110 BI111:BK125 BM111:BN125 BM135:BN135 BI136:BL137 BM137:BN137 BL110:BL125">
    <cfRule type="expression" dxfId="129" priority="409">
      <formula>AND(TODAY()&gt;=Y$5,TODAY()&lt;AA$5)</formula>
    </cfRule>
  </conditionalFormatting>
  <conditionalFormatting sqref="Z8:AD10 U7:AD7 AB11:AD18 AD19:AD30 AB79:AD79 X11:Z11 Y12:Z12 Y20:AC30">
    <cfRule type="expression" dxfId="128" priority="850" stopIfTrue="1">
      <formula>AND(Término_da_tarefa&gt;=U$5,Início_da_tarefa&lt;X$5)</formula>
    </cfRule>
  </conditionalFormatting>
  <conditionalFormatting sqref="Z8:AD10 X11:Z11 Y12:Z12 X6:Z6 Y20:AC30">
    <cfRule type="expression" dxfId="127" priority="589">
      <formula>AND(TODAY()&gt;=X$5,TODAY()&lt;AA$5)</formula>
    </cfRule>
  </conditionalFormatting>
  <conditionalFormatting sqref="Z8:AD10 AG7:AG9 AG44 U104:W104 U126:W126 BM127:BN127 U128:W128 BM129:BN129 U130:W130 BM131:BN131 U132:W132 BM133:BN133 AG10:AH18">
    <cfRule type="expression" dxfId="126" priority="259">
      <formula>AND(TODAY()&gt;=U$5,TODAY()&lt;W$5)</formula>
    </cfRule>
  </conditionalFormatting>
  <conditionalFormatting sqref="Z8:AD10 BO84:BO95">
    <cfRule type="expression" dxfId="125" priority="254">
      <formula>AND(TODAY()&gt;=Z$5,TODAY()&lt;#REF!)</formula>
    </cfRule>
  </conditionalFormatting>
  <conditionalFormatting sqref="Z8:AD10 BO84:BO98 BO105:BO125 AE7:AE31">
    <cfRule type="expression" dxfId="124" priority="255" stopIfTrue="1">
      <formula>AND(Término_da_tarefa&gt;=Z$5,Início_da_tarefa&lt;#REF!)</formula>
    </cfRule>
  </conditionalFormatting>
  <conditionalFormatting sqref="AA11:AA18 AE43:AG43 AA43:AD54 AE44:AE54 AA79">
    <cfRule type="expression" dxfId="123" priority="903">
      <formula>AND(TODAY()&gt;=AA$4,TODAY()&lt;AE$5)</formula>
    </cfRule>
    <cfRule type="expression" dxfId="122" priority="908" stopIfTrue="1">
      <formula>AND(Término_da_tarefa&gt;=AA$4,Início_da_tarefa&lt;AE$5)</formula>
    </cfRule>
    <cfRule type="expression" dxfId="121" priority="909">
      <formula>AND(Início_da_tarefa&lt;=AA$4,ROUNDDOWN((Término_da_tarefa-Início_da_tarefa+1)*Progresso_da_tarefa,0)+Início_da_tarefa-1&gt;=AA$4)</formula>
    </cfRule>
  </conditionalFormatting>
  <conditionalFormatting sqref="AA96:AB97 AI96:AJ97 AM96:AN97 BC96:BD97 BG96:BH97 W137 AQ96:AR97 AU96:AV97 BC47:BC53 AY59:AZ63 AY65:AZ68 AX65:AY65">
    <cfRule type="expression" dxfId="120" priority="285">
      <formula>AND(TODAY()&gt;=W$5,TODAY()&lt;X$5)</formula>
    </cfRule>
  </conditionalFormatting>
  <conditionalFormatting sqref="AB6:AD6 AF6:AH6 AJ6:AL6 AN6:AP6 AR6:AT6 AV6:AX6 AZ6:BB6 BD6:BF6 BH6:BJ6 U7:AD7 AB11:AD18 AD19:AD30 AB79:AD79">
    <cfRule type="expression" dxfId="119" priority="822">
      <formula>AND(TODAY()&gt;=U$5,TODAY()&lt;X$5)</formula>
    </cfRule>
  </conditionalFormatting>
  <conditionalFormatting sqref="AE79:AL79 BO110:BO125">
    <cfRule type="expression" dxfId="118" priority="901" stopIfTrue="1">
      <formula>AND(Término_da_tarefa&gt;=AE$5,Início_da_tarefa&lt;#REF!)</formula>
    </cfRule>
  </conditionalFormatting>
  <conditionalFormatting sqref="AF4">
    <cfRule type="expression" dxfId="117" priority="750">
      <formula>AND(TODAY()&gt;=AF$4,TODAY()&lt;AI$5)</formula>
    </cfRule>
  </conditionalFormatting>
  <conditionalFormatting sqref="AQ13:AR20 W31:W78 AA43:AA54 AI55:AJ56 AP55:AP56 AA55:AB78 AL55:AL56 AE67:AE78 AU67:AV68 AE80:AF82 AA80:AB137 AQ81:AR82 W81:W103 AI81:AJ137 AE83:AE103 AE84:AF84 AM84:AN137 AE88:AF96 AQ104:AR105 AS105:AT105 AE105:AE111 W105:W125 AQ106:AV107 AU108:AV111 AQ108:AT125 AE110:AF110 AE112:AF125 AQ126:AR137 AU126:AV137 AY7:AZ9 BC7:BD9 BC11:BD20 AO11:BB11 AO10:BD10 AX15 AQ25:AR32 AY11:AZ21 BC21 AO23:BB23 AO22:BC22 BC43:BD44 AQ37:AR44 BC23:BC33 BC35:BC42 AF7:AF42 AO35:BB35 AO34:BC34 AX39 BC55:BD56 AQ49:AR55 AY35:AZ45 BC45 AO47:BB47 AO46:BC46 AF45:AF55 AI67:AL68 AP67 AQ61:AR66 BC57 BC59:BC66 AO59:BB59 AO58:BC58 AF57:AF66 BD23:BO23 BD21:BD42 BD45:BD54 BD57:BD66 BC67:BD68 BC79:BD125 AU79:AV82 AY79:AZ125 AW50:AX50 AV51:AY51 AW52:AY52 AY47:AZ57 AX53 AW27 BB30 AX26:AX28 AY23:AZ33 AV62:AX63 AX63:AY63 AW64:AX64 BA66:BB66 AQ73:AR78 BC69 BC71:BC78 AO71:BB71 AO70:BC70 AF69:AF78 BD69:BD78 BG7:BH125 BK7:BL133 AM7:AN82 AY69:AZ69 AV74:AX75 AX75:AY75 AW76:AX76 BA78:BB78">
    <cfRule type="expression" dxfId="116" priority="193">
      <formula>AND(TODAY()&gt;=W$5,TODAY()&lt;X$5)</formula>
    </cfRule>
  </conditionalFormatting>
  <conditionalFormatting sqref="AG7:AG9 Z8:AD10 AW126:AX133 BM131:BN131 BM133:BN133 BM127:BN127 BM129:BN129 AG10:AH18 AG19:AG21 AG22:AH30 AG32:AG33 AG34:AH42 AG44:AG45 AG46:AH54">
    <cfRule type="expression" dxfId="115" priority="826" stopIfTrue="1">
      <formula>AND(Término_da_tarefa&gt;=Z$5,Início_da_tarefa&lt;AB$5)</formula>
    </cfRule>
  </conditionalFormatting>
  <conditionalFormatting sqref="AG97:AM97 AR97:BO97 AR111:BO125">
    <cfRule type="expression" dxfId="114" priority="181">
      <formula>AND(Início_da_tarefa&lt;=AG$5,ROUNDDOWN((Término_da_tarefa-Início_da_tarefa+1)*Progresso_da_tarefa,0)+Início_da_tarefa-1&gt;=AG$5)</formula>
    </cfRule>
  </conditionalFormatting>
  <conditionalFormatting sqref="AG56:BO56">
    <cfRule type="expression" dxfId="113" priority="79">
      <formula>AND(Início_da_tarefa&lt;=AG$5,ROUNDDOWN((Término_da_tarefa-Início_da_tarefa+1)*Progresso_da_tarefa,0)+Início_da_tarefa-1&gt;=AG$5)</formula>
    </cfRule>
  </conditionalFormatting>
  <conditionalFormatting sqref="AG68:BO68">
    <cfRule type="expression" dxfId="112" priority="61">
      <formula>AND(Início_da_tarefa&lt;=AG$5,ROUNDDOWN((Término_da_tarefa-Início_da_tarefa+1)*Progresso_da_tarefa,0)+Início_da_tarefa-1&gt;=AG$5)</formula>
    </cfRule>
  </conditionalFormatting>
  <conditionalFormatting sqref="AG83:BO83">
    <cfRule type="expression" dxfId="111" priority="102">
      <formula>AND(Início_da_tarefa&lt;=AG$5,ROUNDDOWN((Término_da_tarefa-Início_da_tarefa+1)*Progresso_da_tarefa,0)+Início_da_tarefa-1&gt;=AG$5)</formula>
    </cfRule>
  </conditionalFormatting>
  <conditionalFormatting sqref="AG98:BO103">
    <cfRule type="expression" dxfId="110" priority="196">
      <formula>AND(Início_da_tarefa&lt;=AG$5,ROUNDDOWN((Término_da_tarefa-Início_da_tarefa+1)*Progresso_da_tarefa,0)+Início_da_tarefa-1&gt;=AG$5)</formula>
    </cfRule>
  </conditionalFormatting>
  <conditionalFormatting sqref="AH7:AJ9 W11 AA11:AA18 W13:W18 AE43:AG43 AB43:AD54 AE44:AE66 AF67 AL67:AO67 AQ67:AU67 AA79 W79:W80 AQ79:AR80 AG80:AJ80 W127 W129 W131 W133 X104 AE104:AF104 AS104:AT104 X126 AE126:AF126 X128 AE128:AF128 X130 AE130:AF130 X132 AE132:AF132 AY126:AZ133 BC130:BG131 AE131 BC132:BH133 AE133 AL55:AO55 AQ56:AT56 AQ68:AT68 AE127 BC126:BH129 AE129 AQ12 AI10:AJ18 AQ7:AR8 AO9:AR11 AH19:AJ21 AQ24 AI22:AJ30 AO21:AR23 AH31:AJ33 AQ36 AI34:AJ42 AO33:AR35 AH43:AJ45 AQ48 AI46:AJ54 AO45:AR47 AH57:AJ57 AQ60 AI58:AJ66 AO57:AR59 BC47:BC53 AY59:AZ63 AY65:AZ68 AX65:AY65 AH69:AJ69 AQ72 AI70:AJ78 AO69:AR71 AY71:AZ75 AY77:AZ78 AX77:AY77">
    <cfRule type="expression" dxfId="109" priority="792" stopIfTrue="1">
      <formula>AND(Término_da_tarefa&gt;=W$5,Início_da_tarefa&lt;X$5)</formula>
    </cfRule>
  </conditionalFormatting>
  <conditionalFormatting sqref="AH7:AJ9 W11 AA11:AA18 W13:W18 AE43:AG43 AB43:AD54 AE44:AE66 AL55:AO55 AQ56:AT56 AF67 AL67:AO67 AQ67:AU67 AQ68:AT68 AA79 W79:W80 AQ79:AR80 AG80:AJ80 X104 AE104:AF104 AS104:AT104 X126 AE126:AF126 BC126:BH129 AY126:AZ133 W127 AE127 X128 AE128:AF128 W129 AE129 X130 AE130:AF130 BC130:BG131 W131 AE131 X132 AE132:AF132 BC132:BH133 W133 AE133 AQ12 AI10:AJ18 AQ7:AR8 AO9:AR11 AH19:AJ21 AQ24 AI22:AJ30 AO21:AR23 AH31:AJ33 AQ36 AI34:AJ42 AO33:AR35 AH43:AJ45 AQ48 AI46:AJ54 AO45:AR47 AH57:AJ57 AQ60 AI58:AJ66 AO57:AR59 AH69:AJ69 AQ72 AI70:AJ78 AO69:AR71">
    <cfRule type="expression" dxfId="108" priority="797">
      <formula>AND(TODAY()&gt;=W$5,TODAY()&lt;X$5)</formula>
    </cfRule>
  </conditionalFormatting>
  <conditionalFormatting sqref="AK84:AM95 BI84:BL95 U86:V86 BE134:BF137">
    <cfRule type="expression" dxfId="107" priority="194">
      <formula>AND(TODAY()&gt;=U$5,TODAY()&lt;W$5)</formula>
    </cfRule>
  </conditionalFormatting>
  <conditionalFormatting sqref="AM83:AN83 U134:W134 AS96:AT97 AW96:AX97 AK82:AL83 AO82:AP83">
    <cfRule type="expression" dxfId="106" priority="304" stopIfTrue="1">
      <formula>AND(Término_da_tarefa&gt;=U$5,Início_da_tarefa&lt;W$5)</formula>
    </cfRule>
  </conditionalFormatting>
  <conditionalFormatting sqref="AM83:AN83 W134">
    <cfRule type="expression" dxfId="105" priority="303">
      <formula>AND(TODAY()&gt;=W$5,TODAY()&lt;Y$5)</formula>
    </cfRule>
  </conditionalFormatting>
  <conditionalFormatting sqref="AM96:AN97 W137 AA96:AB97 AI96:AJ97 BC96:BD97 BG96:BH97">
    <cfRule type="expression" dxfId="104" priority="284" stopIfTrue="1">
      <formula>AND(Término_da_tarefa&gt;=W$5,Início_da_tarefa&lt;X$5)</formula>
    </cfRule>
  </conditionalFormatting>
  <conditionalFormatting sqref="AN96:AQ97 U136:AM136 AR136:BN136">
    <cfRule type="expression" dxfId="103" priority="278">
      <formula>AND(Início_da_tarefa&lt;=U$5,ROUNDDOWN((Término_da_tarefa-Início_da_tarefa+1)*Progresso_da_tarefa,0)+Início_da_tarefa-1&gt;=U$5)</formula>
    </cfRule>
  </conditionalFormatting>
  <conditionalFormatting sqref="AP96:BO97 AG84:BO95 W88:BO95 U86:AM86 AG96:AN97 W98:AE103 W110:BO125">
    <cfRule type="expression" dxfId="102" priority="186">
      <formula>AND(Início_da_tarefa&lt;=U$5,ROUNDDOWN((Término_da_tarefa-Início_da_tarefa+1)*Progresso_da_tarefa,0)+Início_da_tarefa-1&gt;=U$5)</formula>
    </cfRule>
  </conditionalFormatting>
  <conditionalFormatting sqref="AQ83:AV95 X84 X86 AE86:AF86 X88 X96 AQ96:AZ97 AQ98:AR103 X110 AQ110:AZ125 BH130:BH131 X134 AE134:AF134 BI134:BL135 AY134:AZ137 BC134:BD137 BG134:BH137 W135 AE135 X136 AE136:AF136 AE137">
    <cfRule type="expression" dxfId="101" priority="308">
      <formula>AND(TODAY()&gt;=W$5,TODAY()&lt;X$5)</formula>
    </cfRule>
  </conditionalFormatting>
  <conditionalFormatting sqref="AQ96:AZ97 X134 AE134:AF134 BI134:BL135 AY134:AZ137 BC134:BD137 BG134:BH137 W135 AE135 X136 AE136:AF136 AE137 AQ98:AR103 AE86:AF86 AQ110:AZ125 AQ83:AV95 X86 X88 X110 X96 X84 BH130:BH131">
    <cfRule type="expression" dxfId="100" priority="307" stopIfTrue="1">
      <formula>AND(Término_da_tarefa&gt;=W$5,Início_da_tarefa&lt;X$5)</formula>
    </cfRule>
  </conditionalFormatting>
  <conditionalFormatting sqref="AO55:AO56 AO67:AO68 AO45:AR45 AR48:AS49">
    <cfRule type="expression" dxfId="99" priority="96" stopIfTrue="1">
      <formula>AND(Término_da_tarefa&gt;=AO$5,Início_da_tarefa&lt;AQ$5)</formula>
    </cfRule>
  </conditionalFormatting>
  <conditionalFormatting sqref="AS55:AT55 AO55:AO56">
    <cfRule type="expression" dxfId="98" priority="93">
      <formula>AND(TODAY()&gt;=AO$5,TODAY()&lt;AQ$5)</formula>
    </cfRule>
  </conditionalFormatting>
  <conditionalFormatting sqref="AS67:AT67 AP67:AP68">
    <cfRule type="expression" dxfId="97" priority="75">
      <formula>AND(TODAY()&gt;=AP$5,TODAY()&lt;AR$5)</formula>
    </cfRule>
    <cfRule type="expression" dxfId="96" priority="76" stopIfTrue="1">
      <formula>AND(Término_da_tarefa&gt;=AP$5,Início_da_tarefa&lt;AR$5)</formula>
    </cfRule>
  </conditionalFormatting>
  <conditionalFormatting sqref="AK55:AK56 AW14:AX14 AW38:AX38 AW50:AX50 AW62:AX62 AT50:AU50 AU7:AV24 AT62 AU27:AV66">
    <cfRule type="expression" dxfId="95" priority="94" stopIfTrue="1">
      <formula>AND(Término_da_tarefa&gt;=AK$5,Início_da_tarefa&lt;AL$5)</formula>
    </cfRule>
    <cfRule type="expression" dxfId="94" priority="95">
      <formula>AND(TODAY()&gt;=AK$5,TODAY()&lt;AL$5)</formula>
    </cfRule>
  </conditionalFormatting>
  <conditionalFormatting sqref="W105:AE125 W55:BO55 U84:AM84 AR84:BN84 AN104:AQ105 AG105:AM105 AR105:BO105 AG106:BO107 AR108:BK109 AG108:AT125 AN126:AQ137 AV108:BO125 BL106:BL115">
    <cfRule type="expression" dxfId="93" priority="131">
      <formula>AND(Início_da_tarefa&lt;=U$5,ROUNDDOWN((Término_da_tarefa-Início_da_tarefa+1)*Progresso_da_tarefa,0)+Início_da_tarefa-1&gt;=U$5)</formula>
    </cfRule>
  </conditionalFormatting>
  <conditionalFormatting sqref="BA126:BB137">
    <cfRule type="expression" dxfId="92" priority="41" stopIfTrue="1">
      <formula>AND(Término_da_tarefa&gt;=BA$5,Início_da_tarefa&lt;BC$5)</formula>
    </cfRule>
    <cfRule type="expression" dxfId="91" priority="42">
      <formula>AND(TODAY()&gt;=BA$5,TODAY()&lt;BC$5)</formula>
    </cfRule>
  </conditionalFormatting>
  <conditionalFormatting sqref="BD4">
    <cfRule type="expression" dxfId="90" priority="746">
      <formula>AND(TODAY()&gt;=BD$4,TODAY()&lt;BG$5)</formula>
    </cfRule>
  </conditionalFormatting>
  <conditionalFormatting sqref="BH130:BN130 U104:AM104 AR104:BN104 U126:AM126 BI126:BN126 U128:AM128 BI128:BN128 U130:AM130 U132:AM132 BI132:BN132">
    <cfRule type="expression" dxfId="89" priority="418">
      <formula>AND(Início_da_tarefa&lt;=U$5,ROUNDDOWN((Término_da_tarefa-Início_da_tarefa+1)*Progresso_da_tarefa,0)+Início_da_tarefa-1&gt;=U$5)</formula>
    </cfRule>
  </conditionalFormatting>
  <conditionalFormatting sqref="W81:W103 AM84:AN137 AA80:AB137 AI81:AJ137 AE83:AE103 AE88:AF96 AQ96:AR97 AU96:AV97 AE105:AE111 W105:W125 AU108:AV111 AQ108:AT125 AE110:AF110 AE112:AF125 AQ106:AV107 AQ13:AR20 W31:W78 AI55:AJ56 AP55:AP56 AA55:AB78 AL55:AL56 AE84:AF84 AQ104:AR105 AS105:AT105 AQ126:AR137 AU67:AV68 AE80:AF82 AQ81:AR82 AE67:AE78 AU126:AV137 AA43:AA54 AY7:AZ9 BC7:BD9 BC11:BD20 AO11:BB11 AO10:BD10 AX15 AQ25:AR32 AY11:AZ21 BC21 AO23:BB23 AO22:BC22 BC43:BD44 AQ37:AR44 BC23:BC33 BC35:BC42 AF7:AF42 AO35:BB35 AO34:BC34 AX39 BC55:BD56 AQ49:AR55 AY35:AZ45 BC45 AO47:BB47 AO46:BC46 AF45:AF55 AI67:AL68 AP67 AQ61:AR66 BC57 BC59:BC66 AO59:BB59 AO58:BC58 AF57:AF66 BD23:BO23 BD21:BD42 BD45:BD54 BD57:BD66 BC67:BD68 BC79:BD125 AU79:AV82 AY79:AZ125 AW50:AX50 AV51:AY51 AW52:AY52 AY47:AZ57 AX53 AW27 BB30 AX26:AX28 AY23:AZ33 AV62:AX63 AX63:AY63 AW64:AX64 BA66:BB66 AQ73:AR78 BC69 BC71:BC78 AO71:BB71 AO70:BC70 AF69:AF78 BD69:BD78 BG7:BH125 BK7:BL133 AM7:AN82 AY69:AZ69 AV74:AX75 AX75:AY75 AW76:AX76 BA78:BB78">
    <cfRule type="expression" dxfId="88" priority="192" stopIfTrue="1">
      <formula>AND(Término_da_tarefa&gt;=W$5,Início_da_tarefa&lt;X$5)</formula>
    </cfRule>
  </conditionalFormatting>
  <conditionalFormatting sqref="AR12 AG19:AG20 Y55:Z78 AC55:AD78 AG55:AH56 AK80:AL83 Y80:Z137 AC80:AD137 AG81:AH137 U84:V84 AS84:AT97 BI86:BJ105 AK86:AL137 AS98:AU103 AV98:AX125 AU104:AU105 BM105:BN125 AS106:AT137 BI108:BJ133 AS7:AT9 AO67:AO68 AW126:AX137 AO7:AP8 AO12:AP20 AO10:AT11 AG31:AG32 AR24 AS11:AT21 AO24:AP32 AO22:AT23 AR36 AO36:AP44 AO34:AT35 AS35:AT45 AO46:AT47 AS47:AT54 AK7:AL54 AG67:AH68 AS57:AT57 AO58:AT59 AK57:AL66 BD23 BH23 BL23 BN23:BO23 BI106:BL109 AO45:AR45 AO60:AP66 AR48:AS49 AZ53:BA53 AY54:BA54 AZ30 AO48:AP54 AR60:AS61 AS59:AT66 AZ65:BA65 AY66:BA66 AS69:AT69 AO70:AT71 AK69:AL78 BM7:BN103 BE7:BF125 BI7:BJ83 AO72:AP137 BA7:BB125 AR72:AS73 AS71:AT82 AZ77:BA77 AY78:BA78">
    <cfRule type="expression" dxfId="87" priority="137">
      <formula>AND(TODAY()&gt;=U$5,TODAY()&lt;W$5)</formula>
    </cfRule>
  </conditionalFormatting>
  <conditionalFormatting sqref="BM84:BN84 BO106:BO109">
    <cfRule type="expression" dxfId="86" priority="135">
      <formula>AND(TODAY()&gt;=BM$5,TODAY()&lt;#REF!)</formula>
    </cfRule>
    <cfRule type="expression" dxfId="85" priority="136" stopIfTrue="1">
      <formula>AND(Término_da_tarefa&gt;=BM$5,Início_da_tarefa&lt;#REF!)</formula>
    </cfRule>
  </conditionalFormatting>
  <conditionalFormatting sqref="BM86:BN86">
    <cfRule type="expression" dxfId="84" priority="190">
      <formula>AND(TODAY()&gt;=BM$5,TODAY()&lt;#REF!)</formula>
    </cfRule>
    <cfRule type="expression" dxfId="83" priority="191" stopIfTrue="1">
      <formula>AND(Término_da_tarefa&gt;=BM$5,Início_da_tarefa&lt;#REF!)</formula>
    </cfRule>
  </conditionalFormatting>
  <conditionalFormatting sqref="BM88:BN88">
    <cfRule type="expression" dxfId="82" priority="174">
      <formula>AND(TODAY()&gt;=BM$5,TODAY()&lt;#REF!)</formula>
    </cfRule>
    <cfRule type="expression" dxfId="81" priority="175" stopIfTrue="1">
      <formula>AND(Término_da_tarefa&gt;=BM$5,Início_da_tarefa&lt;#REF!)</formula>
    </cfRule>
  </conditionalFormatting>
  <conditionalFormatting sqref="BM96:BN96">
    <cfRule type="expression" dxfId="80" priority="148">
      <formula>AND(TODAY()&gt;=BM$5,TODAY()&lt;#REF!)</formula>
    </cfRule>
    <cfRule type="expression" dxfId="79" priority="149" stopIfTrue="1">
      <formula>AND(Término_da_tarefa&gt;=BM$5,Início_da_tarefa&lt;#REF!)</formula>
    </cfRule>
  </conditionalFormatting>
  <conditionalFormatting sqref="BM104:BN104 BM126:BN126 BM128:BN128 BM130:BN130 BM132:BN132">
    <cfRule type="expression" dxfId="78" priority="422">
      <formula>AND(TODAY()&gt;=BM$5,TODAY()&lt;#REF!)</formula>
    </cfRule>
    <cfRule type="expression" dxfId="77" priority="423" stopIfTrue="1">
      <formula>AND(Término_da_tarefa&gt;=BM$5,Início_da_tarefa&lt;#REF!)</formula>
    </cfRule>
  </conditionalFormatting>
  <conditionalFormatting sqref="BM110:BN110">
    <cfRule type="expression" dxfId="76" priority="125">
      <formula>AND(TODAY()&gt;=BM$5,TODAY()&lt;#REF!)</formula>
    </cfRule>
    <cfRule type="expression" dxfId="75" priority="126" stopIfTrue="1">
      <formula>AND(Término_da_tarefa&gt;=BM$5,Início_da_tarefa&lt;#REF!)</formula>
    </cfRule>
  </conditionalFormatting>
  <conditionalFormatting sqref="BM134:BN134">
    <cfRule type="expression" dxfId="74" priority="305">
      <formula>AND(TODAY()&gt;=BM$5,TODAY()&lt;#REF!)</formula>
    </cfRule>
    <cfRule type="expression" dxfId="73" priority="306" stopIfTrue="1">
      <formula>AND(Término_da_tarefa&gt;=BM$5,Início_da_tarefa&lt;#REF!)</formula>
    </cfRule>
  </conditionalFormatting>
  <conditionalFormatting sqref="BM135:BN135 BI136:BL137 BM137:BN137 BI84:BL84 BI86:BL86 BI88:BL88 BI96:BL96 BL96:BL97 BI97:BK97 BI110:BL110 BI111:BK125 BM97:BN97 BM111:BN125 Y32:AE42 BL110:BL125">
    <cfRule type="expression" dxfId="72" priority="408" stopIfTrue="1">
      <formula>AND(Término_da_tarefa&gt;=Y$5,Início_da_tarefa&lt;AA$5)</formula>
    </cfRule>
  </conditionalFormatting>
  <conditionalFormatting sqref="BM136:BN136">
    <cfRule type="expression" dxfId="71" priority="282">
      <formula>AND(TODAY()&gt;=BM$5,TODAY()&lt;#REF!)</formula>
    </cfRule>
    <cfRule type="expression" dxfId="70" priority="283" stopIfTrue="1">
      <formula>AND(Término_da_tarefa&gt;=BM$5,Início_da_tarefa&lt;#REF!)</formula>
    </cfRule>
  </conditionalFormatting>
  <conditionalFormatting sqref="BO7:BO66">
    <cfRule type="expression" dxfId="69" priority="86" stopIfTrue="1">
      <formula>AND(Término_da_tarefa&gt;=BO$5,Início_da_tarefa&lt;#REF!)</formula>
    </cfRule>
  </conditionalFormatting>
  <conditionalFormatting sqref="BO67:BO68">
    <cfRule type="expression" dxfId="68" priority="68" stopIfTrue="1">
      <formula>AND(Término_da_tarefa&gt;=BO$5,Início_da_tarefa&lt;#REF!)</formula>
    </cfRule>
  </conditionalFormatting>
  <conditionalFormatting sqref="BO79:BO83">
    <cfRule type="expression" dxfId="67" priority="111" stopIfTrue="1">
      <formula>AND(Término_da_tarefa&gt;=BO$5,Início_da_tarefa&lt;#REF!)</formula>
    </cfRule>
  </conditionalFormatting>
  <conditionalFormatting sqref="BO84 BO86 BO88 BO96 BO104 BO110 BO126 BO128 BO130 BO132 BO134 BO136">
    <cfRule type="expression" dxfId="66" priority="1027">
      <formula>AND(TODAY()&gt;=BO$4,TODAY()&lt;#REF!)</formula>
    </cfRule>
    <cfRule type="expression" dxfId="65" priority="1028">
      <formula>AND(Início_da_tarefa&lt;=BO$4,ROUNDDOWN((Término_da_tarefa-Início_da_tarefa+1)*Progresso_da_tarefa,0)+Início_da_tarefa-1&gt;=BO$4)</formula>
    </cfRule>
  </conditionalFormatting>
  <conditionalFormatting sqref="BO84 BO86 BO88 BO96 BO110 BO104 BO126 BO128 BO130 BO132 BO134 BO136">
    <cfRule type="expression" dxfId="64" priority="1026" stopIfTrue="1">
      <formula>AND(Término_da_tarefa&gt;=BO$4,Início_da_tarefa&lt;#REF!)</formula>
    </cfRule>
  </conditionalFormatting>
  <conditionalFormatting sqref="BO97 BO111:BO125">
    <cfRule type="expression" dxfId="63" priority="182">
      <formula>AND(TODAY()&gt;=BO$5,TODAY()&lt;#REF!)</formula>
    </cfRule>
    <cfRule type="expression" dxfId="62" priority="183" stopIfTrue="1">
      <formula>AND(Término_da_tarefa&gt;=BO$5,Início_da_tarefa&lt;#REF!)</formula>
    </cfRule>
  </conditionalFormatting>
  <conditionalFormatting sqref="BO99:BO103">
    <cfRule type="expression" dxfId="61" priority="203" stopIfTrue="1">
      <formula>AND(Término_da_tarefa&gt;=BO$5,Início_da_tarefa&lt;#REF!)</formula>
    </cfRule>
  </conditionalFormatting>
  <conditionalFormatting sqref="BO105:BO125 AE7:AE31 BN6 BO7:BO103">
    <cfRule type="expression" dxfId="60" priority="1025">
      <formula>AND(TODAY()&gt;=AE$5,TODAY()&lt;#REF!)</formula>
    </cfRule>
  </conditionalFormatting>
  <conditionalFormatting sqref="BO110:BO125 AE79:AL79">
    <cfRule type="expression" dxfId="59" priority="853">
      <formula>AND(TODAY()&gt;=AE$5,TODAY()&lt;#REF!)</formula>
    </cfRule>
  </conditionalFormatting>
  <conditionalFormatting sqref="BO127">
    <cfRule type="expression" dxfId="58" priority="56">
      <formula>AND(TODAY()&gt;=BO$5,TODAY()&lt;#REF!)</formula>
    </cfRule>
    <cfRule type="expression" dxfId="57" priority="57" stopIfTrue="1">
      <formula>AND(Término_da_tarefa&gt;=BO$5,Início_da_tarefa&lt;#REF!)</formula>
    </cfRule>
  </conditionalFormatting>
  <conditionalFormatting sqref="BO129">
    <cfRule type="expression" dxfId="56" priority="46">
      <formula>AND(TODAY()&gt;=BO$5,TODAY()&lt;#REF!)</formula>
    </cfRule>
    <cfRule type="expression" dxfId="55" priority="47" stopIfTrue="1">
      <formula>AND(Término_da_tarefa&gt;=BO$5,Início_da_tarefa&lt;#REF!)</formula>
    </cfRule>
  </conditionalFormatting>
  <conditionalFormatting sqref="BO131">
    <cfRule type="expression" dxfId="54" priority="332">
      <formula>AND(TODAY()&gt;=BO$5,TODAY()&lt;#REF!)</formula>
    </cfRule>
    <cfRule type="expression" dxfId="53" priority="333" stopIfTrue="1">
      <formula>AND(Término_da_tarefa&gt;=BO$5,Início_da_tarefa&lt;#REF!)</formula>
    </cfRule>
  </conditionalFormatting>
  <conditionalFormatting sqref="BO133">
    <cfRule type="expression" dxfId="52" priority="321">
      <formula>AND(TODAY()&gt;=BO$5,TODAY()&lt;#REF!)</formula>
    </cfRule>
    <cfRule type="expression" dxfId="51" priority="322" stopIfTrue="1">
      <formula>AND(Término_da_tarefa&gt;=BO$5,Início_da_tarefa&lt;#REF!)</formula>
    </cfRule>
  </conditionalFormatting>
  <conditionalFormatting sqref="BO135">
    <cfRule type="expression" dxfId="50" priority="297">
      <formula>AND(TODAY()&gt;=BO$5,TODAY()&lt;#REF!)</formula>
    </cfRule>
    <cfRule type="expression" dxfId="49" priority="298" stopIfTrue="1">
      <formula>AND(Término_da_tarefa&gt;=BO$5,Início_da_tarefa&lt;#REF!)</formula>
    </cfRule>
  </conditionalFormatting>
  <conditionalFormatting sqref="BO137">
    <cfRule type="expression" dxfId="48" priority="274">
      <formula>AND(TODAY()&gt;=BO$5,TODAY()&lt;#REF!)</formula>
    </cfRule>
    <cfRule type="expression" dxfId="47" priority="275" stopIfTrue="1">
      <formula>AND(Término_da_tarefa&gt;=BO$5,Início_da_tarefa&lt;#REF!)</formula>
    </cfRule>
  </conditionalFormatting>
  <conditionalFormatting sqref="AG21 AG22:AH30">
    <cfRule type="expression" dxfId="46" priority="40">
      <formula>AND(TODAY()&gt;=AG$5,TODAY()&lt;AI$5)</formula>
    </cfRule>
  </conditionalFormatting>
  <conditionalFormatting sqref="AF37:BC42">
    <cfRule type="expression" dxfId="45" priority="37">
      <formula>AND(Início_da_tarefa&lt;=AF$5,ROUNDDOWN((Término_da_tarefa-Início_da_tarefa+1)*Progresso_da_tarefa,0)+Início_da_tarefa-1&gt;=AF$5)</formula>
    </cfRule>
  </conditionalFormatting>
  <conditionalFormatting sqref="AG33 AG34:AH42">
    <cfRule type="expression" dxfId="44" priority="38">
      <formula>AND(TODAY()&gt;=AG$5,TODAY()&lt;AI$5)</formula>
    </cfRule>
  </conditionalFormatting>
  <conditionalFormatting sqref="AG45 AG46:AH54">
    <cfRule type="expression" dxfId="43" priority="36">
      <formula>AND(TODAY()&gt;=AG$5,TODAY()&lt;AI$5)</formula>
    </cfRule>
  </conditionalFormatting>
  <conditionalFormatting sqref="AF57:BC60">
    <cfRule type="expression" dxfId="42" priority="33">
      <formula>AND(Início_da_tarefa&lt;=AF$5,ROUNDDOWN((Término_da_tarefa-Início_da_tarefa+1)*Progresso_da_tarefa,0)+Início_da_tarefa-1&gt;=AF$5)</formula>
    </cfRule>
  </conditionalFormatting>
  <conditionalFormatting sqref="AG57 AG58:AH66">
    <cfRule type="expression" dxfId="41" priority="34" stopIfTrue="1">
      <formula>AND(Término_da_tarefa&gt;=AG$5,Início_da_tarefa&lt;AI$5)</formula>
    </cfRule>
  </conditionalFormatting>
  <conditionalFormatting sqref="AR60:AS61 AS57:AT66">
    <cfRule type="expression" dxfId="40" priority="32" stopIfTrue="1">
      <formula>AND(Término_da_tarefa&gt;=AR$5,Início_da_tarefa&lt;AT$5)</formula>
    </cfRule>
  </conditionalFormatting>
  <conditionalFormatting sqref="AG57 AG58:AH66">
    <cfRule type="expression" dxfId="39" priority="31">
      <formula>AND(TODAY()&gt;=AG$5,TODAY()&lt;AI$5)</formula>
    </cfRule>
  </conditionalFormatting>
  <conditionalFormatting sqref="BD27:BO32">
    <cfRule type="expression" dxfId="38" priority="29">
      <formula>AND(Início_da_tarefa&lt;=BD$5,ROUNDDOWN((Término_da_tarefa-Início_da_tarefa+1)*Progresso_da_tarefa,0)+Início_da_tarefa-1&gt;=BD$5)</formula>
    </cfRule>
  </conditionalFormatting>
  <conditionalFormatting sqref="BD37:BO42">
    <cfRule type="expression" dxfId="37" priority="28">
      <formula>AND(Início_da_tarefa&lt;=BD$5,ROUNDDOWN((Término_da_tarefa-Início_da_tarefa+1)*Progresso_da_tarefa,0)+Início_da_tarefa-1&gt;=BD$5)</formula>
    </cfRule>
  </conditionalFormatting>
  <conditionalFormatting sqref="BD49:BO54">
    <cfRule type="expression" dxfId="36" priority="27">
      <formula>AND(Início_da_tarefa&lt;=BD$5,ROUNDDOWN((Término_da_tarefa-Início_da_tarefa+1)*Progresso_da_tarefa,0)+Início_da_tarefa-1&gt;=BD$5)</formula>
    </cfRule>
  </conditionalFormatting>
  <conditionalFormatting sqref="BD57:BO60">
    <cfRule type="expression" dxfId="35" priority="26">
      <formula>AND(Início_da_tarefa&lt;=BD$5,ROUNDDOWN((Término_da_tarefa-Início_da_tarefa+1)*Progresso_da_tarefa,0)+Início_da_tarefa-1&gt;=BD$5)</formula>
    </cfRule>
  </conditionalFormatting>
  <conditionalFormatting sqref="BD61:BO66">
    <cfRule type="expression" dxfId="34" priority="25">
      <formula>AND(Início_da_tarefa&lt;=BD$5,ROUNDDOWN((Término_da_tarefa-Início_da_tarefa+1)*Progresso_da_tarefa,0)+Início_da_tarefa-1&gt;=BD$5)</formula>
    </cfRule>
  </conditionalFormatting>
  <conditionalFormatting sqref="BA54:BB54 AY64">
    <cfRule type="expression" dxfId="23" priority="1030">
      <formula>AND(TODAY()&gt;=AZ$5,TODAY()&lt;BA$5)</formula>
    </cfRule>
  </conditionalFormatting>
  <conditionalFormatting sqref="BA54:BB54 AY64">
    <cfRule type="expression" dxfId="22" priority="1032" stopIfTrue="1">
      <formula>AND(Término_da_tarefa&gt;=AZ$5,Início_da_tarefa&lt;BA$5)</formula>
    </cfRule>
  </conditionalFormatting>
  <conditionalFormatting sqref="BA54:BB54 AU26:AV26 AY64">
    <cfRule type="expression" dxfId="21" priority="1034">
      <formula>AND(Início_da_tarefa&lt;=AV$5,ROUNDDOWN((Término_da_tarefa-Início_da_tarefa+1)*Progresso_da_tarefa,0)+Início_da_tarefa-1&gt;=AV$5)</formula>
    </cfRule>
  </conditionalFormatting>
  <conditionalFormatting sqref="AR25">
    <cfRule type="expression" dxfId="20" priority="1036" stopIfTrue="1">
      <formula>AND(Término_da_tarefa&gt;=AT$5,Início_da_tarefa&lt;AV$5)</formula>
    </cfRule>
  </conditionalFormatting>
  <conditionalFormatting sqref="AS25:AT25">
    <cfRule type="expression" dxfId="19" priority="1039" stopIfTrue="1">
      <formula>AND(Término_da_tarefa&gt;=AU$5,Início_da_tarefa&lt;AV$5)</formula>
    </cfRule>
    <cfRule type="expression" dxfId="18" priority="1040">
      <formula>AND(TODAY()&gt;=AU$5,TODAY()&lt;AV$5)</formula>
    </cfRule>
  </conditionalFormatting>
  <conditionalFormatting sqref="AR25">
    <cfRule type="expression" dxfId="17" priority="1042">
      <formula>AND(TODAY()&gt;=AT$5,TODAY()&lt;AV$5)</formula>
    </cfRule>
  </conditionalFormatting>
  <conditionalFormatting sqref="AR25:AT25">
    <cfRule type="expression" dxfId="16" priority="1044">
      <formula>AND(Início_da_tarefa&lt;=AT$5,ROUNDDOWN((Término_da_tarefa-Início_da_tarefa+1)*Progresso_da_tarefa,0)+Início_da_tarefa-1&gt;=AT$5)</formula>
    </cfRule>
  </conditionalFormatting>
  <conditionalFormatting sqref="AU26:AV26">
    <cfRule type="expression" dxfId="15" priority="1050" stopIfTrue="1">
      <formula>AND(Término_da_tarefa&gt;=AV$5,Início_da_tarefa&lt;AW$5)</formula>
    </cfRule>
    <cfRule type="expression" dxfId="14" priority="1051">
      <formula>AND(TODAY()&gt;=AV$5,TODAY()&lt;AW$5)</formula>
    </cfRule>
  </conditionalFormatting>
  <conditionalFormatting sqref="AF73:BC75 AF76:AX76 BA76:BC76 AF77:BC78">
    <cfRule type="expression" dxfId="13" priority="10">
      <formula>AND(Início_da_tarefa&lt;=AF$5,ROUNDDOWN((Término_da_tarefa-Início_da_tarefa+1)*Progresso_da_tarefa,0)+Início_da_tarefa-1&gt;=AF$5)</formula>
    </cfRule>
  </conditionalFormatting>
  <conditionalFormatting sqref="AY71:AZ75 AY77:AZ78 AX77">
    <cfRule type="expression" dxfId="12" priority="11">
      <formula>AND(TODAY()&gt;=AX$5,TODAY()&lt;AY$5)</formula>
    </cfRule>
  </conditionalFormatting>
  <conditionalFormatting sqref="AW74:AX74 AT74 AU69:AV78">
    <cfRule type="expression" dxfId="11" priority="8" stopIfTrue="1">
      <formula>AND(Término_da_tarefa&gt;=AT$5,Início_da_tarefa&lt;AU$5)</formula>
    </cfRule>
    <cfRule type="expression" dxfId="10" priority="9">
      <formula>AND(TODAY()&gt;=AT$5,TODAY()&lt;AU$5)</formula>
    </cfRule>
  </conditionalFormatting>
  <conditionalFormatting sqref="BO69:BO78">
    <cfRule type="expression" dxfId="9" priority="7" stopIfTrue="1">
      <formula>AND(Término_da_tarefa&gt;=BO$5,Início_da_tarefa&lt;#REF!)</formula>
    </cfRule>
  </conditionalFormatting>
  <conditionalFormatting sqref="AF69:BC72">
    <cfRule type="expression" dxfId="8" priority="5">
      <formula>AND(Início_da_tarefa&lt;=AF$5,ROUNDDOWN((Término_da_tarefa-Início_da_tarefa+1)*Progresso_da_tarefa,0)+Início_da_tarefa-1&gt;=AF$5)</formula>
    </cfRule>
  </conditionalFormatting>
  <conditionalFormatting sqref="AG69 AG70:AH78">
    <cfRule type="expression" dxfId="7" priority="6" stopIfTrue="1">
      <formula>AND(Término_da_tarefa&gt;=AG$5,Início_da_tarefa&lt;AI$5)</formula>
    </cfRule>
  </conditionalFormatting>
  <conditionalFormatting sqref="AR72:AT73 AS69:AT71 AS74:AT78">
    <cfRule type="expression" dxfId="6" priority="4" stopIfTrue="1">
      <formula>AND(Término_da_tarefa&gt;=AR$5,Início_da_tarefa&lt;AT$5)</formula>
    </cfRule>
  </conditionalFormatting>
  <conditionalFormatting sqref="AG69 AG70:AH78">
    <cfRule type="expression" dxfId="5" priority="3">
      <formula>AND(TODAY()&gt;=AG$5,TODAY()&lt;AI$5)</formula>
    </cfRule>
  </conditionalFormatting>
  <conditionalFormatting sqref="BD69:BO72">
    <cfRule type="expression" dxfId="4" priority="2">
      <formula>AND(Início_da_tarefa&lt;=BD$5,ROUNDDOWN((Término_da_tarefa-Início_da_tarefa+1)*Progresso_da_tarefa,0)+Início_da_tarefa-1&gt;=BD$5)</formula>
    </cfRule>
  </conditionalFormatting>
  <conditionalFormatting sqref="BD73:BO78">
    <cfRule type="expression" dxfId="3" priority="1">
      <formula>AND(Início_da_tarefa&lt;=BD$5,ROUNDDOWN((Término_da_tarefa-Início_da_tarefa+1)*Progresso_da_tarefa,0)+Início_da_tarefa-1&gt;=BD$5)</formula>
    </cfRule>
  </conditionalFormatting>
  <conditionalFormatting sqref="AY76">
    <cfRule type="expression" dxfId="2" priority="12">
      <formula>AND(TODAY()&gt;=AZ$5,TODAY()&lt;BA$5)</formula>
    </cfRule>
  </conditionalFormatting>
  <conditionalFormatting sqref="AY76">
    <cfRule type="expression" dxfId="1" priority="13" stopIfTrue="1">
      <formula>AND(Término_da_tarefa&gt;=AZ$5,Início_da_tarefa&lt;BA$5)</formula>
    </cfRule>
  </conditionalFormatting>
  <conditionalFormatting sqref="AY76">
    <cfRule type="expression" dxfId="0" priority="14">
      <formula>AND(Início_da_tarefa&lt;=AZ$5,ROUNDDOWN((Término_da_tarefa-Início_da_tarefa+1)*Progresso_da_tarefa,0)+Início_da_tarefa-1&gt;=AZ$5)</formula>
    </cfRule>
  </conditionalFormatting>
  <printOptions horizontalCentered="1"/>
  <pageMargins left="0.35" right="0.35" top="0.35" bottom="0.5" header="0.3" footer="0.3"/>
  <pageSetup paperSize="9" scale="33" fitToHeight="0" orientation="landscape" r:id="rId1"/>
  <headerFooter differentFirst="1" scaleWithDoc="0">
    <oddFooter>&amp;C_x000D_&amp;1#&amp;"Calibri"&amp;10&amp;K0000FF Classificação: Interna</oddFooter>
    <firstFooter>&amp;C_x000D_&amp;1#&amp;"Calibri"&amp;10&amp;K0000FF Classificação: Interna</firstFooter>
  </headerFooter>
  <ignoredErrors>
    <ignoredError sqref="R25 R49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929A5D-0A76-4F72-8222-A727B4E83C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F13:G17 F25:G29 F37:G41 F49:G53 F61:G65 F73:G77 P7:P137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07BA364D1654387CA771A5258DC59" ma:contentTypeVersion="19" ma:contentTypeDescription="Create a new document." ma:contentTypeScope="" ma:versionID="2b775060f83d6efd2bd1c54978b8e750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b780244a123cd8f2f2c4f573fac653ed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Props1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955797-A520-4897-A59D-675E1D4E2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987d89-c3c0-470e-aaa6-c2253135bda5"/>
    <ds:schemaRef ds:uri="a855df5c-95c7-4b88-a17d-2f8ebe25b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a855df5c-95c7-4b88-a17d-2f8ebe25ba97"/>
    <ds:schemaRef ds:uri="9f987d89-c3c0-470e-aaa6-c2253135b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CronogramaAtivInspeção</vt:lpstr>
      <vt:lpstr>CronogramaAtivInspeção!Início_da_tarefa</vt:lpstr>
      <vt:lpstr>Início_do_projeto</vt:lpstr>
      <vt:lpstr>CronogramaAtivInspeção!Progresso_da_tarefa</vt:lpstr>
      <vt:lpstr>Semana_de_exibição</vt:lpstr>
      <vt:lpstr>CronogramaAtivInspeção!Término_da_tarefa</vt:lpstr>
      <vt:lpstr>CronogramaAtivInspeção!Titulos_de_impressao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2021-12-14T20:18:50Z</dcterms:created>
  <dcterms:modified xsi:type="dcterms:W3CDTF">2026-05-14T16:32:18Z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0x010100B4407BA364D1654387CA771A5258DC59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2024-05-03T19:46:55Z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87c4b32b-99bb-47a2-a1cd-9b7ad581fdbc</vt:lpwstr>
  </property>
  <property fmtid="{D5CDD505-2E9C-101B-9397-08002B2CF9AE}" pid="8" name="MSIP_Label_defa4170-0d19-0005-0004-bc88714345d2_ActionId">
    <vt:lpwstr>0491b26a-83c6-473c-9c13-7461bacd37bc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ediaServiceImageTags">
    <vt:lpwstr/>
  </property>
  <property fmtid="{D5CDD505-2E9C-101B-9397-08002B2CF9AE}" pid="11" name="MSIP_Label_1d1bec2f-76ff-4ec4-a400-40fa874b44be_Enabled">
    <vt:lpwstr>true</vt:lpwstr>
  </property>
  <property fmtid="{D5CDD505-2E9C-101B-9397-08002B2CF9AE}" pid="12" name="MSIP_Label_1d1bec2f-76ff-4ec4-a400-40fa874b44be_SetDate">
    <vt:lpwstr>2024-05-22T13:17:05Z</vt:lpwstr>
  </property>
  <property fmtid="{D5CDD505-2E9C-101B-9397-08002B2CF9AE}" pid="13" name="MSIP_Label_1d1bec2f-76ff-4ec4-a400-40fa874b44be_Method">
    <vt:lpwstr>Privileged</vt:lpwstr>
  </property>
  <property fmtid="{D5CDD505-2E9C-101B-9397-08002B2CF9AE}" pid="14" name="MSIP_Label_1d1bec2f-76ff-4ec4-a400-40fa874b44be_Name">
    <vt:lpwstr>Interno</vt:lpwstr>
  </property>
  <property fmtid="{D5CDD505-2E9C-101B-9397-08002B2CF9AE}" pid="15" name="MSIP_Label_1d1bec2f-76ff-4ec4-a400-40fa874b44be_SiteId">
    <vt:lpwstr>8a0ffb54-9716-4a93-9158-9e3a7206f18e</vt:lpwstr>
  </property>
  <property fmtid="{D5CDD505-2E9C-101B-9397-08002B2CF9AE}" pid="16" name="MSIP_Label_1d1bec2f-76ff-4ec4-a400-40fa874b44be_ActionId">
    <vt:lpwstr>536a5b40-2a40-4f9e-aa31-ec27ea51a266</vt:lpwstr>
  </property>
  <property fmtid="{D5CDD505-2E9C-101B-9397-08002B2CF9AE}" pid="17" name="MSIP_Label_1d1bec2f-76ff-4ec4-a400-40fa874b44be_ContentBits">
    <vt:lpwstr>2</vt:lpwstr>
  </property>
</Properties>
</file>